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303C3D91-7825-4285-88F0-484B8A0C0BC3}" xr6:coauthVersionLast="47" xr6:coauthVersionMax="47" xr10:uidLastSave="{00000000-0000-0000-0000-000000000000}"/>
  <bookViews>
    <workbookView xWindow="-108" yWindow="-108" windowWidth="23256" windowHeight="12576" firstSheet="1" activeTab="3" xr2:uid="{D579C9A6-6C0E-4926-85B4-935B81558EC6}"/>
  </bookViews>
  <sheets>
    <sheet name="Sheet1" sheetId="1" r:id="rId1"/>
    <sheet name="Market Data" sheetId="2" r:id="rId2"/>
    <sheet name="Vol" sheetId="3" r:id="rId3"/>
    <sheet name="DiscreteDividend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4" l="1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7" i="4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sharedStrings.xml><?xml version="1.0" encoding="utf-8"?>
<sst xmlns="http://schemas.openxmlformats.org/spreadsheetml/2006/main" count="162" uniqueCount="58">
  <si>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</si>
  <si>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</si>
  <si>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</si>
  <si>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</si>
  <si>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</si>
  <si>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</si>
  <si>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</si>
  <si>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</si>
  <si>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</si>
  <si>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</si>
  <si>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</si>
  <si>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</si>
  <si>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</si>
  <si>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</si>
  <si>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</si>
  <si>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</si>
  <si>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</si>
  <si>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</si>
  <si>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</si>
  <si>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</si>
  <si>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</si>
  <si>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</si>
  <si>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</si>
  <si>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</si>
  <si>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</si>
  <si>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</si>
  <si>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</si>
  <si>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</si>
  <si>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</si>
  <si>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</si>
  <si>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</si>
  <si>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</si>
  <si>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</si>
  <si>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</si>
  <si>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</si>
  <si>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</si>
  <si>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</si>
  <si>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</si>
  <si>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</si>
  <si>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</si>
  <si>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</si>
  <si>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</si>
  <si>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</si>
  <si>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</si>
  <si>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</si>
  <si>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</si>
  <si>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</si>
  <si>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</si>
  <si>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</si>
  <si>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TEST10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</si>
  <si>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</si>
  <si>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</si>
  <si>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</si>
  <si>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</si>
  <si>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</si>
  <si>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</si>
  <si>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Scenario</t>
    <phoneticPr fontId="1" type="noConversion"/>
  </si>
  <si>
    <t>TEST_1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</si>
</sst>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26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6" fillId="0" borderId="11" xfId="1" applyFont="1" applyBorder="1" applyAlignment="1">
      <alignment horizontal="center" vertical="center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topLeftCell="A16" workbookViewId="0">
      <selection activeCell="M25" sqref="M25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O1" s="1" t="s">
        <v>1</v>
      </c>
      <c r="P1" s="2" t="s">
        <v>2</v>
      </c>
    </row>
    <row r="2" spans="1:21" x14ac:dyDescent="0.4">
      <c r="A2" s="3">
        <v>45288</v>
      </c>
      <c r="O2" s="4" t="s">
        <v>49</v>
      </c>
      <c r="P2" s="2" t="s">
        <v>3</v>
      </c>
    </row>
    <row r="4" spans="1:21" x14ac:dyDescent="0.4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">
      <c r="A5" s="19" t="s">
        <v>8</v>
      </c>
      <c r="B5" s="19"/>
      <c r="C5" s="19"/>
      <c r="D5" s="19"/>
      <c r="E5" s="19"/>
      <c r="F5" s="19"/>
      <c r="G5" s="19"/>
      <c r="H5" s="19"/>
      <c r="I5" s="19"/>
      <c r="M5" s="19" t="s">
        <v>9</v>
      </c>
      <c r="N5" s="19"/>
      <c r="O5" s="19"/>
      <c r="P5" s="19"/>
      <c r="Q5" s="19"/>
      <c r="R5" s="19"/>
      <c r="S5" s="19"/>
      <c r="T5" s="19"/>
      <c r="U5" s="19"/>
    </row>
    <row r="6" spans="1:21" x14ac:dyDescent="0.4">
      <c r="A6" s="20" t="s">
        <v>10</v>
      </c>
      <c r="B6" s="20" t="s">
        <v>11</v>
      </c>
      <c r="C6" s="22" t="s">
        <v>12</v>
      </c>
      <c r="D6" s="22"/>
      <c r="E6" s="22"/>
      <c r="F6" s="22"/>
      <c r="G6" s="22"/>
      <c r="H6" s="22"/>
      <c r="I6" s="22"/>
      <c r="M6" s="20" t="s">
        <v>10</v>
      </c>
      <c r="N6" s="20" t="s">
        <v>13</v>
      </c>
      <c r="O6" s="22" t="s">
        <v>12</v>
      </c>
      <c r="P6" s="22"/>
      <c r="Q6" s="22"/>
      <c r="R6" s="22"/>
      <c r="S6" s="22"/>
      <c r="T6" s="22"/>
      <c r="U6" s="22"/>
    </row>
    <row r="7" spans="1:21" x14ac:dyDescent="0.4">
      <c r="A7" s="21"/>
      <c r="B7" s="21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21"/>
      <c r="N7" s="21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">
      <c r="A17" s="19" t="s">
        <v>8</v>
      </c>
      <c r="B17" s="19"/>
      <c r="C17" s="19"/>
      <c r="D17" s="19"/>
      <c r="E17" s="19"/>
      <c r="F17" s="19"/>
      <c r="G17" s="19"/>
      <c r="H17" s="19"/>
      <c r="I17" s="19"/>
      <c r="J17" s="19"/>
      <c r="M17" s="19" t="s">
        <v>23</v>
      </c>
      <c r="N17" s="19"/>
      <c r="O17" s="19"/>
      <c r="P17" s="19"/>
      <c r="Q17" s="19"/>
      <c r="R17" s="19"/>
      <c r="S17" s="19"/>
      <c r="T17" s="19"/>
      <c r="U17" s="19"/>
      <c r="V17" s="19"/>
    </row>
    <row r="18" spans="1:22" x14ac:dyDescent="0.4">
      <c r="A18" s="20" t="s">
        <v>10</v>
      </c>
      <c r="B18" s="20" t="s">
        <v>24</v>
      </c>
      <c r="C18" s="20" t="s">
        <v>25</v>
      </c>
      <c r="D18" s="22" t="s">
        <v>12</v>
      </c>
      <c r="E18" s="22"/>
      <c r="F18" s="22"/>
      <c r="G18" s="22"/>
      <c r="H18" s="22"/>
      <c r="I18" s="22"/>
      <c r="J18" s="22"/>
      <c r="M18" s="20" t="s">
        <v>10</v>
      </c>
      <c r="N18" s="20" t="s">
        <v>24</v>
      </c>
      <c r="O18" s="20" t="s">
        <v>25</v>
      </c>
      <c r="P18" s="22" t="s">
        <v>12</v>
      </c>
      <c r="Q18" s="22"/>
      <c r="R18" s="22"/>
      <c r="S18" s="22"/>
      <c r="T18" s="22"/>
      <c r="U18" s="22"/>
      <c r="V18" s="22"/>
    </row>
    <row r="19" spans="1:22" x14ac:dyDescent="0.4">
      <c r="A19" s="21"/>
      <c r="B19" s="21"/>
      <c r="C19" s="21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21"/>
      <c r="N19" s="21"/>
      <c r="O19" s="21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Q21" s="8"/>
      <c r="R21" s="9"/>
      <c r="S21" s="8"/>
      <c r="T21" s="8"/>
      <c r="U21" s="8"/>
      <c r="V21" s="8"/>
    </row>
    <row r="22" spans="1:22" x14ac:dyDescent="0.4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">
      <c r="A26" s="19" t="s">
        <v>8</v>
      </c>
      <c r="B26" s="19"/>
      <c r="C26" s="19"/>
      <c r="D26" s="19"/>
      <c r="E26" s="19"/>
      <c r="F26" s="19"/>
      <c r="G26" s="19"/>
      <c r="H26" s="19"/>
      <c r="I26" s="19"/>
      <c r="J26" s="19"/>
      <c r="M26" s="23" t="s">
        <v>23</v>
      </c>
      <c r="N26" s="24"/>
      <c r="O26" s="24"/>
      <c r="P26" s="24"/>
      <c r="Q26" s="24"/>
      <c r="R26" s="24"/>
      <c r="S26" s="24"/>
      <c r="T26" s="24"/>
      <c r="U26" s="24"/>
      <c r="V26" s="24"/>
    </row>
    <row r="27" spans="1:22" x14ac:dyDescent="0.4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  <mergeCell ref="A5:I5"/>
    <mergeCell ref="M5:U5"/>
    <mergeCell ref="A6:A7"/>
    <mergeCell ref="B6:B7"/>
    <mergeCell ref="C6:I6"/>
    <mergeCell ref="M6:M7"/>
    <mergeCell ref="N6:N7"/>
    <mergeCell ref="O6:U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topLeftCell="AA1" workbookViewId="0">
      <selection activeCell="AN10" sqref="AN10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42</v>
      </c>
    </row>
    <row r="2" spans="1:56" ht="25.2" x14ac:dyDescent="0.4">
      <c r="A2" s="25" t="s">
        <v>43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D2" s="25" t="s">
        <v>9</v>
      </c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</row>
    <row r="3" spans="1:56" x14ac:dyDescent="0.4">
      <c r="A3" s="7" t="s">
        <v>10</v>
      </c>
      <c r="B3" s="19" t="s">
        <v>44</v>
      </c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D3" s="7" t="s">
        <v>10</v>
      </c>
      <c r="AE3" s="19" t="s">
        <v>44</v>
      </c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</row>
    <row r="4" spans="1:56" x14ac:dyDescent="0.4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19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19" t="s">
        <v>40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19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19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19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19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19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19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19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19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19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19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19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19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19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19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19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19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10</v>
      </c>
      <c r="B15" s="19" t="s">
        <v>44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D15" s="7" t="s">
        <v>10</v>
      </c>
      <c r="AE15" s="19" t="s">
        <v>44</v>
      </c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</row>
    <row r="16" spans="1:56" x14ac:dyDescent="0.4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19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19" t="s">
        <v>40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19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19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19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19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19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19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19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19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19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19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19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19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19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19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19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19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10</v>
      </c>
      <c r="B27" s="19" t="s">
        <v>44</v>
      </c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D27" s="7" t="s">
        <v>10</v>
      </c>
      <c r="AE27" s="19" t="s">
        <v>44</v>
      </c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</row>
    <row r="28" spans="1:56" x14ac:dyDescent="0.4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19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19" t="s">
        <v>40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19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19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19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19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19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19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19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19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19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19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19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19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19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19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19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19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10</v>
      </c>
      <c r="B39" s="19" t="s">
        <v>44</v>
      </c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D39" s="7" t="s">
        <v>10</v>
      </c>
      <c r="AE39" s="19" t="s">
        <v>44</v>
      </c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</row>
    <row r="40" spans="1:56" x14ac:dyDescent="0.4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19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19" t="s">
        <v>40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19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19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19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19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19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19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19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19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19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19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19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19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19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19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19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19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:AA2"/>
    <mergeCell ref="AD2:BD2"/>
    <mergeCell ref="B3:AA3"/>
    <mergeCell ref="AE3:BD3"/>
    <mergeCell ref="A5:A13"/>
    <mergeCell ref="AD5:AD13"/>
    <mergeCell ref="B15:AA15"/>
    <mergeCell ref="AE15:BD15"/>
    <mergeCell ref="A17:A25"/>
    <mergeCell ref="AD17:AD25"/>
    <mergeCell ref="B27:AA27"/>
    <mergeCell ref="AE27:BD27"/>
    <mergeCell ref="A29:A37"/>
    <mergeCell ref="AD29:AD37"/>
    <mergeCell ref="B39:AA39"/>
    <mergeCell ref="AE39:BD39"/>
    <mergeCell ref="A41:A49"/>
    <mergeCell ref="AD41:AD49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1:M25"/>
  <sheetViews>
    <sheetView tabSelected="1" workbookViewId="0">
      <selection activeCell="I5" sqref="I5"/>
    </sheetView>
  </sheetViews>
  <sheetFormatPr defaultRowHeight="17.399999999999999" x14ac:dyDescent="0.4"/>
  <sheetData>
    <row r="1" spans="1:13" x14ac:dyDescent="0.4">
      <c r="I1" t="s">
        <v>56</v>
      </c>
      <c r="J1" t="s">
        <v>57</v>
      </c>
    </row>
    <row r="3" spans="1:13" x14ac:dyDescent="0.4">
      <c r="A3" t="s">
        <v>50</v>
      </c>
      <c r="J3" t="s">
        <v>53</v>
      </c>
    </row>
    <row r="5" spans="1:13" x14ac:dyDescent="0.4">
      <c r="A5" t="s">
        <v>51</v>
      </c>
      <c r="C5" t="s">
        <v>52</v>
      </c>
      <c r="J5" t="s">
        <v>54</v>
      </c>
      <c r="L5" t="s">
        <v>55</v>
      </c>
    </row>
    <row r="7" spans="1:13" x14ac:dyDescent="0.4">
      <c r="A7">
        <v>20240320</v>
      </c>
      <c r="B7">
        <v>0.51229999999999998</v>
      </c>
      <c r="C7">
        <v>20240320</v>
      </c>
      <c r="D7">
        <v>6.7999999999999996E-3</v>
      </c>
      <c r="J7">
        <v>20240320</v>
      </c>
      <c r="K7">
        <f>B7+0.0001</f>
        <v>0.51239999999999997</v>
      </c>
      <c r="L7">
        <v>20240320</v>
      </c>
      <c r="M7">
        <f>D7+0.0001</f>
        <v>6.8999999999999999E-3</v>
      </c>
    </row>
    <row r="8" spans="1:13" x14ac:dyDescent="0.4">
      <c r="A8">
        <v>20240321</v>
      </c>
      <c r="B8">
        <v>9.1499999999999998E-2</v>
      </c>
      <c r="C8">
        <v>20240322</v>
      </c>
      <c r="D8">
        <v>7.7299999999999994E-2</v>
      </c>
      <c r="J8">
        <v>20240321</v>
      </c>
      <c r="K8">
        <f t="shared" ref="K8:K25" si="0">B8+0.0001</f>
        <v>9.1600000000000001E-2</v>
      </c>
      <c r="L8">
        <v>20240322</v>
      </c>
      <c r="M8">
        <f t="shared" ref="M8:M24" si="1">D8+0.0001</f>
        <v>7.7399999999999997E-2</v>
      </c>
    </row>
    <row r="9" spans="1:13" x14ac:dyDescent="0.4">
      <c r="A9">
        <v>20240322</v>
      </c>
      <c r="B9">
        <v>0.19800000000000001</v>
      </c>
      <c r="C9">
        <v>20240325</v>
      </c>
      <c r="D9">
        <v>1.4800000000000001E-2</v>
      </c>
      <c r="J9">
        <v>20240322</v>
      </c>
      <c r="K9">
        <f t="shared" si="0"/>
        <v>0.1981</v>
      </c>
      <c r="L9">
        <v>20240325</v>
      </c>
      <c r="M9">
        <f t="shared" si="1"/>
        <v>1.49E-2</v>
      </c>
    </row>
    <row r="10" spans="1:13" x14ac:dyDescent="0.4">
      <c r="A10">
        <v>20240327</v>
      </c>
      <c r="B10">
        <v>0.46879999999999999</v>
      </c>
      <c r="C10">
        <v>20240326</v>
      </c>
      <c r="D10">
        <v>2.0230000000000001E-2</v>
      </c>
      <c r="J10">
        <v>20240327</v>
      </c>
      <c r="K10">
        <f t="shared" si="0"/>
        <v>0.46889999999999998</v>
      </c>
      <c r="L10">
        <v>20240326</v>
      </c>
      <c r="M10">
        <f t="shared" si="1"/>
        <v>2.0330000000000001E-2</v>
      </c>
    </row>
    <row r="11" spans="1:13" x14ac:dyDescent="0.4">
      <c r="A11">
        <v>20240328</v>
      </c>
      <c r="B11">
        <v>0.10730000000000001</v>
      </c>
      <c r="C11">
        <v>20240328</v>
      </c>
      <c r="D11">
        <v>1.5265</v>
      </c>
      <c r="J11">
        <v>20240328</v>
      </c>
      <c r="K11">
        <f t="shared" si="0"/>
        <v>0.10740000000000001</v>
      </c>
      <c r="L11">
        <v>20240328</v>
      </c>
      <c r="M11">
        <f t="shared" si="1"/>
        <v>1.5266</v>
      </c>
    </row>
    <row r="12" spans="1:13" x14ac:dyDescent="0.4">
      <c r="A12">
        <v>20240401</v>
      </c>
      <c r="B12">
        <v>1.5800000000000002E-2</v>
      </c>
      <c r="C12">
        <v>20240329</v>
      </c>
      <c r="D12">
        <v>6.2899999999999998E-2</v>
      </c>
      <c r="J12">
        <v>20240401</v>
      </c>
      <c r="K12">
        <f t="shared" si="0"/>
        <v>1.5900000000000001E-2</v>
      </c>
      <c r="L12">
        <v>20240329</v>
      </c>
      <c r="M12">
        <f t="shared" si="1"/>
        <v>6.3E-2</v>
      </c>
    </row>
    <row r="13" spans="1:13" x14ac:dyDescent="0.4">
      <c r="A13">
        <v>20240402</v>
      </c>
      <c r="B13">
        <v>0.1095</v>
      </c>
      <c r="C13">
        <v>20240401</v>
      </c>
      <c r="D13">
        <v>2.3900000000000001E-2</v>
      </c>
      <c r="J13">
        <v>20240402</v>
      </c>
      <c r="K13">
        <f t="shared" si="0"/>
        <v>0.1096</v>
      </c>
      <c r="L13">
        <v>20240401</v>
      </c>
      <c r="M13">
        <f t="shared" si="1"/>
        <v>2.4E-2</v>
      </c>
    </row>
    <row r="14" spans="1:13" x14ac:dyDescent="0.4">
      <c r="A14">
        <v>20240403</v>
      </c>
      <c r="B14">
        <v>0.1883</v>
      </c>
      <c r="C14">
        <v>20240402</v>
      </c>
      <c r="D14">
        <v>1.3599999999999999E-2</v>
      </c>
      <c r="J14">
        <v>20240403</v>
      </c>
      <c r="K14">
        <f t="shared" si="0"/>
        <v>0.18839999999999998</v>
      </c>
      <c r="L14">
        <v>20240402</v>
      </c>
      <c r="M14">
        <f t="shared" si="1"/>
        <v>1.3699999999999999E-2</v>
      </c>
    </row>
    <row r="15" spans="1:13" x14ac:dyDescent="0.4">
      <c r="A15">
        <v>20240404</v>
      </c>
      <c r="B15">
        <v>0.48299999999999998</v>
      </c>
      <c r="C15">
        <v>20240403</v>
      </c>
      <c r="D15">
        <v>4.4999999999999997E-3</v>
      </c>
      <c r="J15">
        <v>20240404</v>
      </c>
      <c r="K15">
        <f t="shared" si="0"/>
        <v>0.48309999999999997</v>
      </c>
      <c r="L15">
        <v>20240403</v>
      </c>
      <c r="M15">
        <f t="shared" si="1"/>
        <v>4.5999999999999999E-3</v>
      </c>
    </row>
    <row r="16" spans="1:13" x14ac:dyDescent="0.4">
      <c r="A16">
        <v>20240405</v>
      </c>
      <c r="B16">
        <v>1.7999999999999999E-2</v>
      </c>
      <c r="C16">
        <v>20240404</v>
      </c>
      <c r="D16">
        <v>1.4800000000000001E-2</v>
      </c>
      <c r="J16">
        <v>20240405</v>
      </c>
      <c r="K16">
        <f t="shared" si="0"/>
        <v>1.8099999999999998E-2</v>
      </c>
      <c r="L16">
        <v>20240404</v>
      </c>
      <c r="M16">
        <f t="shared" si="1"/>
        <v>1.49E-2</v>
      </c>
    </row>
    <row r="17" spans="1:13" x14ac:dyDescent="0.4">
      <c r="A17">
        <v>20240408</v>
      </c>
      <c r="B17">
        <v>6.83E-2</v>
      </c>
      <c r="C17">
        <v>20240425</v>
      </c>
      <c r="D17">
        <v>2.3E-3</v>
      </c>
      <c r="J17">
        <v>20240408</v>
      </c>
      <c r="K17">
        <f t="shared" si="0"/>
        <v>6.8400000000000002E-2</v>
      </c>
      <c r="L17">
        <v>20240425</v>
      </c>
      <c r="M17">
        <f t="shared" si="1"/>
        <v>2.3999999999999998E-3</v>
      </c>
    </row>
    <row r="18" spans="1:13" x14ac:dyDescent="0.4">
      <c r="A18">
        <v>20240409</v>
      </c>
      <c r="B18">
        <v>5.738E-2</v>
      </c>
      <c r="C18">
        <v>20240627</v>
      </c>
      <c r="D18">
        <v>1.3867</v>
      </c>
      <c r="J18">
        <v>20240409</v>
      </c>
      <c r="K18">
        <f t="shared" si="0"/>
        <v>5.7480000000000003E-2</v>
      </c>
      <c r="L18">
        <v>20240627</v>
      </c>
      <c r="M18">
        <f t="shared" si="1"/>
        <v>1.3868</v>
      </c>
    </row>
    <row r="19" spans="1:13" x14ac:dyDescent="0.4">
      <c r="A19">
        <v>20240411</v>
      </c>
      <c r="B19">
        <v>9.6000000000000002E-2</v>
      </c>
      <c r="C19">
        <v>20240629</v>
      </c>
      <c r="D19">
        <v>1.9300000000000001E-2</v>
      </c>
      <c r="J19">
        <v>20240411</v>
      </c>
      <c r="K19">
        <f t="shared" si="0"/>
        <v>9.6100000000000005E-2</v>
      </c>
      <c r="L19">
        <v>20240629</v>
      </c>
      <c r="M19">
        <f t="shared" si="1"/>
        <v>1.9400000000000001E-2</v>
      </c>
    </row>
    <row r="20" spans="1:13" x14ac:dyDescent="0.4">
      <c r="A20">
        <v>20240412</v>
      </c>
      <c r="B20">
        <v>0.372</v>
      </c>
      <c r="C20">
        <v>20240807</v>
      </c>
      <c r="D20">
        <v>1.8200000000000001E-2</v>
      </c>
      <c r="J20">
        <v>20240412</v>
      </c>
      <c r="K20">
        <f t="shared" si="0"/>
        <v>0.37209999999999999</v>
      </c>
      <c r="L20">
        <v>20240807</v>
      </c>
      <c r="M20">
        <f t="shared" si="1"/>
        <v>1.83E-2</v>
      </c>
    </row>
    <row r="21" spans="1:13" x14ac:dyDescent="0.4">
      <c r="A21">
        <v>20240415</v>
      </c>
      <c r="B21">
        <v>4.7300000000000002E-2</v>
      </c>
      <c r="C21">
        <v>20240927</v>
      </c>
      <c r="D21">
        <v>1.1376999999999999</v>
      </c>
      <c r="J21">
        <v>20240415</v>
      </c>
      <c r="K21">
        <f t="shared" si="0"/>
        <v>4.7400000000000005E-2</v>
      </c>
      <c r="L21">
        <v>20240927</v>
      </c>
      <c r="M21">
        <f t="shared" si="1"/>
        <v>1.1377999999999999</v>
      </c>
    </row>
    <row r="22" spans="1:13" x14ac:dyDescent="0.4">
      <c r="A22">
        <v>20240416</v>
      </c>
      <c r="B22">
        <v>5.5500000000000001E-2</v>
      </c>
      <c r="C22">
        <v>20241004</v>
      </c>
      <c r="D22">
        <v>3.3999999999999998E-3</v>
      </c>
      <c r="J22">
        <v>20240416</v>
      </c>
      <c r="K22">
        <f t="shared" si="0"/>
        <v>5.5600000000000004E-2</v>
      </c>
      <c r="L22">
        <v>20241004</v>
      </c>
      <c r="M22">
        <f t="shared" si="1"/>
        <v>3.4999999999999996E-3</v>
      </c>
    </row>
    <row r="23" spans="1:13" x14ac:dyDescent="0.4">
      <c r="A23">
        <v>20240417</v>
      </c>
      <c r="B23">
        <v>7.1999999999999995E-2</v>
      </c>
      <c r="C23">
        <v>20241227</v>
      </c>
      <c r="D23">
        <v>3.9777999999999998</v>
      </c>
      <c r="J23">
        <v>20240417</v>
      </c>
      <c r="K23">
        <f t="shared" si="0"/>
        <v>7.2099999999999997E-2</v>
      </c>
      <c r="L23">
        <v>20241227</v>
      </c>
      <c r="M23">
        <f t="shared" si="1"/>
        <v>3.9779</v>
      </c>
    </row>
    <row r="24" spans="1:13" x14ac:dyDescent="0.4">
      <c r="A24">
        <v>20240418</v>
      </c>
      <c r="B24">
        <v>0.23180000000000001</v>
      </c>
      <c r="C24">
        <v>20250220</v>
      </c>
      <c r="D24">
        <v>0.1358</v>
      </c>
      <c r="J24">
        <v>20240418</v>
      </c>
      <c r="K24">
        <f t="shared" si="0"/>
        <v>0.2319</v>
      </c>
      <c r="L24">
        <v>20250220</v>
      </c>
      <c r="M24">
        <f t="shared" si="1"/>
        <v>0.13589999999999999</v>
      </c>
    </row>
    <row r="25" spans="1:13" x14ac:dyDescent="0.4">
      <c r="A25">
        <v>20240419</v>
      </c>
      <c r="B25">
        <v>0.11849999999999999</v>
      </c>
      <c r="J25">
        <v>20240419</v>
      </c>
      <c r="K25">
        <f t="shared" si="0"/>
        <v>0.1186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Sheet1</vt:lpstr>
      <vt:lpstr>Market Data</vt:lpstr>
      <vt:lpstr>Vol</vt:lpstr>
      <vt:lpstr>DiscreteDividend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2024-03-26T14:23:28Z</dcterms:modified>
</cp:coreProperties>
</file>