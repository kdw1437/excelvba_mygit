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E2E6720C-65A8-47BB-AC0D-E9D1E62D4EFC}" xr6:coauthVersionLast="47" xr6:coauthVersionMax="47" xr10:uidLastSave="{00000000-0000-0000-0000-000000000000}"/>
  <bookViews>
    <workbookView minimized="1" xWindow="1920" yWindow="1920" windowWidth="17280" windowHeight="8964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Missing Data - Hist Vol, Corr" sheetId="11" r:id="rId5"/>
    <sheet name="Missing Data - Fx Forward" sheetId="12" r:id="rId6"/>
    <sheet name="Missing Data - D_Dividend(보정)" sheetId="13" r:id="rId7"/>
    <sheet name="OTC" sheetId="10" r:id="rId8"/>
    <sheet name="Quote" sheetId="9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2" l="1"/>
  <c r="J10" i="12"/>
  <c r="J9" i="12"/>
  <c r="G11" i="12"/>
  <c r="G10" i="12"/>
  <c r="G9" i="12"/>
  <c r="K7" i="13"/>
  <c r="H7" i="13"/>
  <c r="E7" i="13"/>
  <c r="B7" i="13"/>
  <c r="K6" i="13"/>
  <c r="H6" i="13"/>
  <c r="E6" i="13"/>
  <c r="B6" i="13"/>
  <c r="D11" i="12"/>
  <c r="A11" i="12"/>
  <c r="D10" i="12"/>
  <c r="A10" i="12"/>
  <c r="D9" i="12"/>
  <c r="A9" i="12"/>
  <c r="E5" i="12"/>
  <c r="B5" i="12"/>
  <c r="H2" i="10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<sst xmlns="http://schemas.openxmlformats.org/spreadsheetml/2006/main" count="614" uniqueCount="250">
  <si>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</si>
  <si>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</si>
  <si>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</si>
  <si>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</si>
  <si>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</si>
  <si>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</si>
  <si>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</si>
  <si>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</si>
  <si>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</si>
  <si>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</si>
  <si>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</si>
  <si>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</si>
  <si>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</si>
  <si>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</si>
  <si>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</si>
  <si>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</si>
  <si>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</si>
  <si>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</si>
  <si>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</si>
  <si>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</si>
  <si>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</si>
  <si>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</si>
  <si>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</si>
  <si>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</si>
  <si>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</si>
  <si>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</si>
  <si>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</si>
  <si>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</si>
  <si>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</si>
  <si>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</si>
  <si>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</si>
  <si>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</si>
  <si>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</si>
  <si>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</si>
  <si>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</si>
  <si>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</si>
  <si>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</si>
  <si>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</si>
  <si>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</si>
  <si>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</si>
  <si>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</si>
  <si>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</si>
  <si>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</si>
  <si>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</si>
  <si>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</si>
  <si>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</si>
  <si>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</si>
  <si>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</si>
  <si>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</si>
  <si>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</si>
  <si>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</si>
  <si>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</si>
  <si>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</si>
  <si>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</si>
  <si>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</si>
  <si>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</si>
  <si>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</si>
  <si>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</si>
  <si>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</si>
  <si>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</si>
  <si>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</si>
  <si>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</si>
  <si>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</si>
  <si>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</si>
  <si>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</si>
  <si>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</si>
  <si>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</si>
  <si>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</si>
  <si>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</si>
  <si>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</si>
  <si>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</si>
  <si>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</si>
  <si>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</si>
  <si>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</si>
  <si>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</si>
  <si>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</si>
  <si>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</si>
  <si>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</si>
  <si>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</si>
  <si>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</si>
  <si>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</si>
  <si>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</si>
  <si>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</si>
  <si>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</si>
  <si>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</si>
  <si>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</si>
  <si>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</si>
  <si>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</si>
  <si>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</si>
  <si>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</si>
  <si>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</si>
  <si>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</si>
  <si>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</si>
  <si>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</si>
  <si>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</si>
  <si>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</si>
  <si>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</si>
  <si>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</si>
  <si>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</si>
  <si>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</si>
  <si>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</si>
  <si>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</si>
  <si>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</si>
  <si>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</si>
  <si>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</si>
  <si>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</si>
  <si>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</si>
  <si>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Starting point</t>
    <phoneticPr fontId="3" type="noConversion"/>
  </si>
  <si>
    <t>M4</t>
    <phoneticPr fontId="3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</si>
  <si>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</si>
  <si>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</si>
  <si>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</si>
  <si>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</si>
  <si>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</si>
  <si>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</si>
  <si>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</si>
  <si>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</si>
  <si>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</si>
  <si>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</si>
  <si>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</si>
  <si>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</si>
  <si>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</si>
  <si>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</si>
  <si>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</si>
  <si>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</si>
  <si>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</si>
  <si>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</si>
  <si>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</si>
  <si>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</si>
  <si>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</si>
  <si>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</si>
  <si>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</si>
  <si>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</si>
  <si>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</si>
  <si>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</si>
  <si>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</si>
  <si>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</si>
  <si>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</si>
  <si>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</si>
  <si>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</si>
  <si>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</si>
  <si>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</si>
  <si>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</si>
  <si>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</si>
  <si>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</si>
  <si>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</si>
  <si>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</si>
  <si>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</si>
  <si>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</si>
  <si>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</si>
  <si>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</si>
  <si>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</si>
  <si>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</si>
  <si>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</si>
  <si>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</si>
  <si>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</si>
  <si>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</si>
  <si>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</si>
  <si>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</si>
  <si>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</si>
  <si>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</si>
  <si>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</si>
  <si>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</si>
  <si>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</si>
  <si>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</si>
  <si>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</si>
  <si>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</si>
  <si>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</si>
  <si>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</si>
  <si>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</si>
  <si>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</si>
  <si>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</si>
  <si>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</si>
  <si>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</si>
  <si>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</si>
  <si>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</si>
  <si>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</si>
  <si>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</si>
  <si>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</si>
  <si>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</si>
  <si>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</si>
  <si>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</si>
  <si>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</si>
  <si>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</si>
  <si>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</si>
  <si>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</si>
  <si>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</si>
  <si>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</si>
  <si>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</si>
  <si>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</si>
  <si>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</si>
  <si>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</si>
  <si>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</si>
  <si>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</si>
  <si>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</si>
  <si>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</si>
  <si>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</si>
  <si>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</si>
  <si>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</si>
  <si>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</si>
  <si>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</si>
  <si>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</si>
  <si>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</si>
  <si>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</si>
  <si>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</si>
  <si>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00:34:50.0</t>
    <phoneticPr fontId="3" type="noConversion"/>
  </si>
  <si>
    <t>기준일자</t>
    <phoneticPr fontId="3" type="noConversion"/>
  </si>
  <si>
    <t>역사적 변동성</t>
    <phoneticPr fontId="3" type="noConversion"/>
  </si>
  <si>
    <t>상관계수</t>
    <phoneticPr fontId="3" type="noConversion"/>
  </si>
  <si>
    <t>기초자산 코드</t>
    <phoneticPr fontId="3" type="noConversion"/>
  </si>
  <si>
    <t>통화코드</t>
    <phoneticPr fontId="3" type="noConversion"/>
  </si>
  <si>
    <t>역사적 변동성(%)</t>
    <phoneticPr fontId="3" type="noConversion"/>
  </si>
  <si>
    <t>기초자산 코드 1</t>
    <phoneticPr fontId="3" type="noConversion"/>
  </si>
  <si>
    <t>기초자산 코드 2</t>
    <phoneticPr fontId="3" type="noConversion"/>
  </si>
  <si>
    <t>상관계수 값</t>
    <phoneticPr fontId="3" type="noConversion"/>
  </si>
  <si>
    <t>FX Forward Curve</t>
    <phoneticPr fontId="3" type="noConversion"/>
  </si>
  <si>
    <t>데이터 ID</t>
    <phoneticPr fontId="3" type="noConversion"/>
  </si>
  <si>
    <t>기준통화</t>
    <phoneticPr fontId="3" type="noConversion"/>
  </si>
  <si>
    <t>USD</t>
    <phoneticPr fontId="3" type="noConversion"/>
  </si>
  <si>
    <t>EUR</t>
    <phoneticPr fontId="3" type="noConversion"/>
  </si>
  <si>
    <t>상대통화</t>
    <phoneticPr fontId="3" type="noConversion"/>
  </si>
  <si>
    <t>Value</t>
    <phoneticPr fontId="3" type="noConversion"/>
  </si>
  <si>
    <t xml:space="preserve"> </t>
    <phoneticPr fontId="3" type="noConversion"/>
  </si>
  <si>
    <t>HSCEI</t>
    <phoneticPr fontId="3" type="noConversion"/>
  </si>
  <si>
    <t>데이터 이름</t>
    <phoneticPr fontId="3" type="noConversion"/>
  </si>
  <si>
    <t>통화</t>
    <phoneticPr fontId="3" type="noConversion"/>
  </si>
  <si>
    <t>HKD</t>
    <phoneticPr fontId="3" type="noConversion"/>
  </si>
  <si>
    <t>JPY</t>
    <phoneticPr fontId="3" type="noConversion"/>
  </si>
  <si>
    <t>DVID_DT</t>
    <phoneticPr fontId="3" type="noConversion"/>
  </si>
  <si>
    <t>AMOUNT</t>
    <phoneticPr fontId="3" type="noConversion"/>
  </si>
  <si>
    <t>F_FXGBPUSD</t>
    <phoneticPr fontId="3" type="noConversion"/>
  </si>
  <si>
    <t>GBP</t>
    <phoneticPr fontId="3" type="noConversion"/>
  </si>
  <si>
    <t>F_FXEURUSD</t>
    <phoneticPr fontId="3" type="noConversion"/>
  </si>
  <si>
    <t>Discrete Dividend</t>
    <phoneticPr fontId="3" type="noConversion"/>
  </si>
  <si>
    <t>2024-06-18 12:57:19.0</t>
    <phoneticPr fontId="1" type="noConversion"/>
  </si>
  <si>
    <t>TEST28</t>
    <phoneticPr fontId="1" type="noConversion"/>
  </si>
  <si>
    <t>TEST31</t>
    <phoneticPr fontId="1" type="noConversion"/>
  </si>
  <si>
    <t>TEST30</t>
    <phoneticPr fontId="3" type="noConversion"/>
  </si>
  <si>
    <t>URL</t>
    <phoneticPr fontId="1" type="noConversion"/>
  </si>
  <si>
    <t>http://localhost:8080/val/</t>
    <phoneticPr fontId="1" type="noConversion"/>
  </si>
  <si>
    <t>KTB5Y</t>
    <phoneticPr fontId="3" type="noConversion"/>
  </si>
  <si>
    <t>KTB10Y</t>
    <phoneticPr fontId="3" type="noConversion"/>
  </si>
  <si>
    <t>QUOTE681</t>
    <phoneticPr fontId="3" type="noConversion"/>
  </si>
  <si>
    <t>QUOTE682</t>
    <phoneticPr fontId="3" type="noConversion"/>
  </si>
  <si>
    <t>QUOTE683</t>
    <phoneticPr fontId="3" type="noConversion"/>
  </si>
  <si>
    <t>QUOTE684</t>
    <phoneticPr fontId="3" type="noConversion"/>
  </si>
  <si>
    <t>QUOTE685</t>
    <phoneticPr fontId="3" type="noConversion"/>
  </si>
  <si>
    <t>QUOTE686</t>
    <phoneticPr fontId="3" type="noConversion"/>
  </si>
  <si>
    <t>QUOTE687</t>
    <phoneticPr fontId="3" type="noConversion"/>
  </si>
  <si>
    <t>QUOTE688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</si>
</sst>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12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  <xf numFmtId="14" fontId="2" fillId="0" borderId="1" xfId="1" applyNumberFormat="1" applyBorder="1"/>
    <xf numFmtId="14" fontId="2" fillId="0" borderId="0" xfId="1" applyNumberFormat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4" fillId="3" borderId="1" xfId="1" applyFont="1" applyFill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7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9" xfId="1" applyBorder="1" applyAlignment="1">
      <alignment vertical="center"/>
    </xf>
    <xf numFmtId="0" fontId="2" fillId="0" borderId="10" xfId="1" applyBorder="1" applyAlignment="1">
      <alignment vertical="center"/>
    </xf>
    <xf numFmtId="0" fontId="2" fillId="3" borderId="1" xfId="1" applyFill="1" applyBorder="1" applyAlignment="1">
      <alignment vertical="center" wrapText="1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2" fillId="0" borderId="0" xfId="1" applyAlignment="1">
      <alignment vertical="top"/>
    </xf>
    <xf numFmtId="0" fontId="11" fillId="0" borderId="0" xfId="1" applyFont="1" applyAlignment="1">
      <alignment vertical="top"/>
    </xf>
    <xf numFmtId="0" fontId="12" fillId="0" borderId="0" xfId="2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3">
    <cellStyle name="표준" xfId="0" builtinId="0"/>
    <cellStyle name="표준 2" xfId="1" xr:uid="{91A3E50D-024C-41D0-880D-A39927CAB06E}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[0]!InputDivStream.InputDivStrea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[0]!ClassPostDivStream.ClassPostDivStream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[0]!InputDivYield.InputDivYiel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[0]!ClassPostDivYield.ClassPostDivYield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99060</xdr:rowOff>
    </xdr:from>
    <xdr:to>
      <xdr:col>3</xdr:col>
      <xdr:colOff>641985</xdr:colOff>
      <xdr:row>2</xdr:row>
      <xdr:rowOff>19050</xdr:rowOff>
    </xdr:to>
    <xdr:sp macro="[0]!PostMissingDataHistVolCorr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022B0DB-740A-4A4F-A8F2-0256B19695D4}"/>
            </a:ext>
          </a:extLst>
        </xdr:cNvPr>
        <xdr:cNvSpPr/>
      </xdr:nvSpPr>
      <xdr:spPr>
        <a:xfrm>
          <a:off x="2118360" y="9906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91440</xdr:rowOff>
    </xdr:from>
    <xdr:to>
      <xdr:col>4</xdr:col>
      <xdr:colOff>344805</xdr:colOff>
      <xdr:row>2</xdr:row>
      <xdr:rowOff>11430</xdr:rowOff>
    </xdr:to>
    <xdr:sp macro="[0]!PostMissingDataFxForwar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8A85FFE-D5B5-40D0-810E-6BF3B202697F}"/>
            </a:ext>
          </a:extLst>
        </xdr:cNvPr>
        <xdr:cNvSpPr/>
      </xdr:nvSpPr>
      <xdr:spPr>
        <a:xfrm>
          <a:off x="2468880" y="9144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68580</xdr:rowOff>
    </xdr:from>
    <xdr:to>
      <xdr:col>4</xdr:col>
      <xdr:colOff>344805</xdr:colOff>
      <xdr:row>1</xdr:row>
      <xdr:rowOff>209550</xdr:rowOff>
    </xdr:to>
    <xdr:sp macro="[0]!PostMissingDataDividen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5B5A10-A5BA-4484-AE34-08EA15DEE306}"/>
            </a:ext>
          </a:extLst>
        </xdr:cNvPr>
        <xdr:cNvSpPr/>
      </xdr:nvSpPr>
      <xdr:spPr>
        <a:xfrm>
          <a:off x="2880360" y="6858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</sheetNames>
    <sheetDataSet>
      <sheetData sheetId="0">
        <row r="2">
          <cell r="O2" t="str">
            <v>HS_1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val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abSelected="1" workbookViewId="0">
      <selection activeCell="A15" sqref="A1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F1" s="2" t="s">
        <v>238</v>
      </c>
      <c r="O1" s="1" t="s">
        <v>1</v>
      </c>
      <c r="P1" s="1" t="s">
        <v>107</v>
      </c>
    </row>
    <row r="2" spans="1:21" x14ac:dyDescent="0.4">
      <c r="A2" s="3">
        <v>45288</v>
      </c>
      <c r="F2" s="52" t="s">
        <v>239</v>
      </c>
      <c r="O2" s="4" t="s">
        <v>237</v>
      </c>
      <c r="P2" s="4" t="s">
        <v>108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53" t="s">
        <v>6</v>
      </c>
      <c r="B5" s="53"/>
      <c r="C5" s="53"/>
      <c r="D5" s="53"/>
      <c r="E5" s="53"/>
      <c r="F5" s="53"/>
      <c r="G5" s="53"/>
      <c r="H5" s="53"/>
      <c r="I5" s="53"/>
      <c r="M5" s="53" t="s">
        <v>7</v>
      </c>
      <c r="N5" s="53"/>
      <c r="O5" s="53"/>
      <c r="P5" s="53"/>
      <c r="Q5" s="53"/>
      <c r="R5" s="53"/>
      <c r="S5" s="53"/>
      <c r="T5" s="53"/>
      <c r="U5" s="53"/>
    </row>
    <row r="6" spans="1:21" x14ac:dyDescent="0.4">
      <c r="A6" s="56" t="s">
        <v>8</v>
      </c>
      <c r="B6" s="56" t="s">
        <v>9</v>
      </c>
      <c r="C6" s="58" t="s">
        <v>10</v>
      </c>
      <c r="D6" s="58"/>
      <c r="E6" s="58"/>
      <c r="F6" s="58"/>
      <c r="G6" s="58"/>
      <c r="H6" s="58"/>
      <c r="I6" s="58"/>
      <c r="M6" s="56" t="s">
        <v>8</v>
      </c>
      <c r="N6" s="56" t="s">
        <v>11</v>
      </c>
      <c r="O6" s="58" t="s">
        <v>10</v>
      </c>
      <c r="P6" s="58"/>
      <c r="Q6" s="58"/>
      <c r="R6" s="58"/>
      <c r="S6" s="58"/>
      <c r="T6" s="58"/>
      <c r="U6" s="58"/>
    </row>
    <row r="7" spans="1:21" x14ac:dyDescent="0.4">
      <c r="A7" s="57"/>
      <c r="B7" s="57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57"/>
      <c r="N7" s="57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>
        <v>0.58911142630000002</v>
      </c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>
        <v>0.29841844509999998</v>
      </c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>
        <v>0.14324733119999999</v>
      </c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>
        <v>0.13258238289999999</v>
      </c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>
        <v>0.51757146279999999</v>
      </c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53" t="s">
        <v>6</v>
      </c>
      <c r="B17" s="53"/>
      <c r="C17" s="53"/>
      <c r="D17" s="53"/>
      <c r="E17" s="53"/>
      <c r="F17" s="53"/>
      <c r="G17" s="53"/>
      <c r="H17" s="53"/>
      <c r="I17" s="53"/>
      <c r="J17" s="53"/>
      <c r="M17" s="53" t="s">
        <v>21</v>
      </c>
      <c r="N17" s="53"/>
      <c r="O17" s="53"/>
      <c r="P17" s="53"/>
      <c r="Q17" s="53"/>
      <c r="R17" s="53"/>
      <c r="S17" s="53"/>
      <c r="T17" s="53"/>
      <c r="U17" s="53"/>
      <c r="V17" s="53"/>
    </row>
    <row r="18" spans="1:22" x14ac:dyDescent="0.4">
      <c r="A18" s="56" t="s">
        <v>8</v>
      </c>
      <c r="B18" s="56" t="s">
        <v>22</v>
      </c>
      <c r="C18" s="56" t="s">
        <v>23</v>
      </c>
      <c r="D18" s="58" t="s">
        <v>10</v>
      </c>
      <c r="E18" s="58"/>
      <c r="F18" s="58"/>
      <c r="G18" s="58"/>
      <c r="H18" s="58"/>
      <c r="I18" s="58"/>
      <c r="J18" s="58"/>
      <c r="M18" s="56" t="s">
        <v>8</v>
      </c>
      <c r="N18" s="56" t="s">
        <v>22</v>
      </c>
      <c r="O18" s="56" t="s">
        <v>23</v>
      </c>
      <c r="P18" s="58" t="s">
        <v>10</v>
      </c>
      <c r="Q18" s="58"/>
      <c r="R18" s="58"/>
      <c r="S18" s="58"/>
      <c r="T18" s="58"/>
      <c r="U18" s="58"/>
      <c r="V18" s="58"/>
    </row>
    <row r="19" spans="1:22" x14ac:dyDescent="0.4">
      <c r="A19" s="57"/>
      <c r="B19" s="57"/>
      <c r="C19" s="57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57"/>
      <c r="N19" s="57"/>
      <c r="O19" s="57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53" t="s">
        <v>6</v>
      </c>
      <c r="B26" s="53"/>
      <c r="C26" s="53"/>
      <c r="D26" s="53"/>
      <c r="E26" s="53"/>
      <c r="F26" s="53"/>
      <c r="G26" s="53"/>
      <c r="H26" s="53"/>
      <c r="I26" s="53"/>
      <c r="J26" s="53"/>
      <c r="M26" s="54" t="s">
        <v>21</v>
      </c>
      <c r="N26" s="55"/>
      <c r="O26" s="55"/>
      <c r="P26" s="55"/>
      <c r="Q26" s="55"/>
      <c r="R26" s="55"/>
      <c r="S26" s="55"/>
      <c r="T26" s="55"/>
      <c r="U26" s="55"/>
      <c r="V26" s="55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hyperlinks>
    <hyperlink ref="F2" r:id="rId1" xr:uid="{AAB2BEE4-721E-44F8-A178-35802F00C73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8" sqref="H18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59" t="s">
        <v>41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D2" s="59" t="s">
        <v>7</v>
      </c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</row>
    <row r="3" spans="1:56" x14ac:dyDescent="0.4">
      <c r="A3" s="7" t="s">
        <v>8</v>
      </c>
      <c r="B3" s="53" t="s">
        <v>42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D3" s="7" t="s">
        <v>8</v>
      </c>
      <c r="AE3" s="53" t="s">
        <v>42</v>
      </c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53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53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53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53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53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53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53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53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53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53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53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53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53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53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53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53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53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53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53" t="s">
        <v>42</v>
      </c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D15" s="7" t="s">
        <v>8</v>
      </c>
      <c r="AE15" s="53" t="s">
        <v>42</v>
      </c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53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53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53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53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53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53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53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53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53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53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53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53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53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53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53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53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53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53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53" t="s">
        <v>42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D27" s="7" t="s">
        <v>8</v>
      </c>
      <c r="AE27" s="53" t="s">
        <v>42</v>
      </c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53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53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53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53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53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53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53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53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53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53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53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53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53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53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53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53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53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53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53" t="s">
        <v>42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D39" s="7" t="s">
        <v>8</v>
      </c>
      <c r="AE39" s="53" t="s">
        <v>42</v>
      </c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53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53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53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53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53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53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53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53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53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53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53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53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53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53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53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53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53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53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B7" sqref="B7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235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workbookViewId="0">
      <selection activeCell="F3" sqref="F3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236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B3A5-263A-411F-9419-0FEE76502125}">
  <sheetPr codeName="Sheet8"/>
  <dimension ref="A1:T95"/>
  <sheetViews>
    <sheetView workbookViewId="0">
      <selection activeCell="G34" sqref="G34"/>
    </sheetView>
  </sheetViews>
  <sheetFormatPr defaultRowHeight="17.399999999999999" x14ac:dyDescent="0.4"/>
  <cols>
    <col min="1" max="1" width="13.69921875" style="19" bestFit="1" customWidth="1"/>
    <col min="2" max="2" width="11.09765625" style="19" bestFit="1" customWidth="1"/>
    <col min="3" max="3" width="16.8984375" style="19" bestFit="1" customWidth="1"/>
    <col min="4" max="4" width="8.796875" style="19"/>
    <col min="5" max="6" width="15.5" style="19" bestFit="1" customWidth="1"/>
    <col min="7" max="7" width="11.59765625" style="19" bestFit="1" customWidth="1"/>
    <col min="8" max="16384" width="8.796875" style="19"/>
  </cols>
  <sheetData>
    <row r="1" spans="1:20" x14ac:dyDescent="0.4">
      <c r="A1" s="21" t="s">
        <v>206</v>
      </c>
      <c r="B1" s="36">
        <v>45395</v>
      </c>
    </row>
    <row r="2" spans="1:20" x14ac:dyDescent="0.4">
      <c r="B2" s="37"/>
    </row>
    <row r="3" spans="1:20" x14ac:dyDescent="0.4">
      <c r="A3" s="38" t="s">
        <v>207</v>
      </c>
      <c r="E3" s="38" t="s">
        <v>208</v>
      </c>
    </row>
    <row r="4" spans="1:20" x14ac:dyDescent="0.4">
      <c r="A4" s="39" t="s">
        <v>209</v>
      </c>
      <c r="B4" s="39" t="s">
        <v>210</v>
      </c>
      <c r="C4" s="39" t="s">
        <v>211</v>
      </c>
      <c r="E4" s="39" t="s">
        <v>212</v>
      </c>
      <c r="F4" s="39" t="s">
        <v>213</v>
      </c>
      <c r="G4" s="39" t="s">
        <v>214</v>
      </c>
      <c r="K4" s="27"/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21" t="s">
        <v>84</v>
      </c>
      <c r="B5" s="21" t="s">
        <v>86</v>
      </c>
      <c r="C5" s="21">
        <v>32.200000000000003</v>
      </c>
      <c r="E5" s="21" t="s">
        <v>84</v>
      </c>
      <c r="F5" s="21" t="s">
        <v>85</v>
      </c>
      <c r="G5" s="21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48" t="s">
        <v>14</v>
      </c>
      <c r="B6" s="48" t="s">
        <v>227</v>
      </c>
      <c r="C6" s="48">
        <v>25.5</v>
      </c>
      <c r="E6" s="48" t="s">
        <v>85</v>
      </c>
      <c r="F6" s="48" t="s">
        <v>14</v>
      </c>
      <c r="G6" s="48">
        <v>0.26</v>
      </c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21"/>
      <c r="B7" s="21"/>
      <c r="C7" s="21"/>
      <c r="E7" s="21"/>
      <c r="F7" s="21"/>
      <c r="G7" s="21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21"/>
      <c r="B8" s="21"/>
      <c r="C8" s="21"/>
      <c r="E8" s="21"/>
      <c r="F8" s="21"/>
      <c r="G8" s="21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21"/>
      <c r="B9" s="21"/>
      <c r="C9" s="21"/>
      <c r="E9" s="21"/>
      <c r="F9" s="21"/>
      <c r="G9" s="21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21"/>
      <c r="B10" s="21"/>
      <c r="C10" s="21"/>
      <c r="E10" s="21"/>
      <c r="F10" s="21"/>
      <c r="G10" s="21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21"/>
      <c r="B11" s="21"/>
      <c r="C11" s="21"/>
      <c r="E11" s="21"/>
      <c r="F11" s="21"/>
      <c r="G11" s="21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21"/>
      <c r="B12" s="21"/>
      <c r="C12" s="21"/>
      <c r="E12" s="21"/>
      <c r="F12" s="21"/>
      <c r="G12" s="21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21"/>
      <c r="B13" s="21"/>
      <c r="C13" s="21"/>
      <c r="E13" s="21"/>
      <c r="F13" s="21"/>
      <c r="G13" s="21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21"/>
      <c r="B14" s="21"/>
      <c r="C14" s="21"/>
      <c r="E14" s="21"/>
      <c r="F14" s="21"/>
      <c r="G14" s="21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21"/>
      <c r="B15" s="21"/>
      <c r="C15" s="21"/>
      <c r="E15" s="21"/>
      <c r="F15" s="21"/>
      <c r="G15" s="21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21"/>
      <c r="B16" s="21"/>
      <c r="C16" s="21"/>
      <c r="E16" s="21"/>
      <c r="F16" s="21"/>
      <c r="G16" s="21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21"/>
      <c r="B17" s="21"/>
      <c r="C17" s="21"/>
      <c r="E17" s="21"/>
      <c r="F17" s="21"/>
      <c r="G17" s="21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21"/>
      <c r="B18" s="21"/>
      <c r="C18" s="21"/>
      <c r="E18" s="21"/>
      <c r="F18" s="21"/>
      <c r="G18" s="21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21"/>
      <c r="B19" s="21"/>
      <c r="C19" s="21"/>
      <c r="E19" s="21"/>
      <c r="F19" s="21"/>
      <c r="G19" s="21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21"/>
      <c r="B20" s="21"/>
      <c r="C20" s="21"/>
      <c r="E20" s="21"/>
      <c r="F20" s="21"/>
      <c r="G20" s="21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21"/>
      <c r="B21" s="21"/>
      <c r="C21" s="21"/>
      <c r="E21" s="21"/>
      <c r="F21" s="21"/>
      <c r="G21" s="21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21"/>
      <c r="B22" s="21"/>
      <c r="C22" s="21"/>
      <c r="E22" s="21"/>
      <c r="F22" s="21"/>
      <c r="G22" s="21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21"/>
      <c r="B23" s="21"/>
      <c r="C23" s="21"/>
      <c r="E23" s="21"/>
      <c r="F23" s="21"/>
      <c r="G23" s="21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21"/>
      <c r="B24" s="21"/>
      <c r="C24" s="21"/>
      <c r="E24" s="21"/>
      <c r="F24" s="21"/>
      <c r="G24" s="21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21"/>
      <c r="B25" s="21"/>
      <c r="C25" s="21"/>
      <c r="E25" s="21"/>
      <c r="F25" s="21"/>
      <c r="G25" s="21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21"/>
      <c r="B26" s="21"/>
      <c r="C26" s="21"/>
      <c r="E26" s="21"/>
      <c r="F26" s="21"/>
      <c r="G26" s="21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21"/>
      <c r="B27" s="21"/>
      <c r="C27" s="21"/>
      <c r="E27" s="21"/>
      <c r="F27" s="21"/>
      <c r="G27" s="21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21"/>
      <c r="B28" s="21"/>
      <c r="C28" s="21"/>
      <c r="E28" s="21"/>
      <c r="F28" s="21"/>
      <c r="G28" s="21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21"/>
      <c r="B29" s="21"/>
      <c r="C29" s="21"/>
      <c r="E29" s="21"/>
      <c r="F29" s="21"/>
      <c r="G29" s="21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21"/>
      <c r="B30" s="21"/>
      <c r="C30" s="21"/>
      <c r="E30" s="21"/>
      <c r="F30" s="21"/>
      <c r="G30" s="21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21"/>
      <c r="B31" s="21"/>
      <c r="C31" s="21"/>
      <c r="E31" s="21"/>
      <c r="F31" s="21"/>
      <c r="G31" s="21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21"/>
      <c r="B32" s="21"/>
      <c r="C32" s="21"/>
      <c r="E32" s="21"/>
      <c r="F32" s="21"/>
      <c r="G32" s="21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21"/>
      <c r="B33" s="21"/>
      <c r="C33" s="21"/>
      <c r="E33" s="21"/>
      <c r="F33" s="21"/>
      <c r="G33" s="21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21"/>
      <c r="B34" s="21"/>
      <c r="C34" s="21"/>
      <c r="E34" s="21"/>
      <c r="F34" s="21"/>
      <c r="G34" s="21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21"/>
      <c r="B35" s="21"/>
      <c r="C35" s="21"/>
      <c r="E35" s="21"/>
      <c r="F35" s="21"/>
      <c r="G35" s="21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21"/>
      <c r="B36" s="21"/>
      <c r="C36" s="21"/>
      <c r="E36" s="21"/>
      <c r="F36" s="21"/>
      <c r="G36" s="21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21"/>
      <c r="B37" s="21"/>
      <c r="C37" s="21"/>
      <c r="E37" s="21"/>
      <c r="F37" s="21"/>
      <c r="G37" s="21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21"/>
      <c r="B38" s="21"/>
      <c r="C38" s="21"/>
      <c r="E38" s="21"/>
      <c r="F38" s="21"/>
      <c r="G38" s="21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21"/>
      <c r="B39" s="21"/>
      <c r="C39" s="21"/>
      <c r="E39" s="21"/>
      <c r="F39" s="21"/>
      <c r="G39" s="21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21"/>
      <c r="B40" s="21"/>
      <c r="C40" s="21"/>
      <c r="E40" s="21"/>
      <c r="F40" s="21"/>
      <c r="G40" s="21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21"/>
      <c r="B41" s="21"/>
      <c r="C41" s="21"/>
      <c r="E41" s="21"/>
      <c r="F41" s="21"/>
      <c r="G41" s="21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21"/>
      <c r="B42" s="21"/>
      <c r="C42" s="21"/>
      <c r="E42" s="21"/>
      <c r="F42" s="21"/>
      <c r="G42" s="21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21"/>
      <c r="B43" s="21"/>
      <c r="C43" s="21"/>
      <c r="E43" s="21"/>
      <c r="F43" s="21"/>
      <c r="G43" s="21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21"/>
      <c r="B44" s="21"/>
      <c r="C44" s="21"/>
      <c r="E44" s="21"/>
      <c r="F44" s="21"/>
      <c r="G44" s="21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21"/>
      <c r="B45" s="21"/>
      <c r="C45" s="21"/>
      <c r="E45" s="21"/>
      <c r="F45" s="21"/>
      <c r="G45" s="21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21"/>
      <c r="B46" s="21"/>
      <c r="C46" s="21"/>
      <c r="E46" s="21"/>
      <c r="F46" s="21"/>
      <c r="G46" s="21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21"/>
      <c r="B47" s="21"/>
      <c r="C47" s="21"/>
      <c r="E47" s="21"/>
      <c r="F47" s="21"/>
      <c r="G47" s="21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21"/>
      <c r="B48" s="21"/>
      <c r="C48" s="21"/>
      <c r="E48" s="21"/>
      <c r="F48" s="21"/>
      <c r="G48" s="21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21"/>
      <c r="B49" s="21"/>
      <c r="C49" s="21"/>
      <c r="E49" s="21"/>
      <c r="F49" s="21"/>
      <c r="G49" s="21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21"/>
      <c r="B50" s="21"/>
      <c r="C50" s="21"/>
      <c r="E50" s="21"/>
      <c r="F50" s="21"/>
      <c r="G50" s="21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21"/>
      <c r="B51" s="21"/>
      <c r="C51" s="21"/>
      <c r="E51" s="21"/>
      <c r="F51" s="21"/>
      <c r="G51" s="21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21"/>
      <c r="B52" s="21"/>
      <c r="C52" s="21"/>
      <c r="E52" s="21"/>
      <c r="F52" s="21"/>
      <c r="G52" s="21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21"/>
      <c r="B53" s="21"/>
      <c r="C53" s="21"/>
      <c r="E53" s="21"/>
      <c r="F53" s="21"/>
      <c r="G53" s="21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21"/>
      <c r="B54" s="21"/>
      <c r="C54" s="21"/>
      <c r="E54" s="21"/>
      <c r="F54" s="21"/>
      <c r="G54" s="21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21"/>
      <c r="B55" s="21"/>
      <c r="C55" s="21"/>
      <c r="E55" s="21"/>
      <c r="F55" s="21"/>
      <c r="G55" s="21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21"/>
      <c r="B56" s="21"/>
      <c r="C56" s="21"/>
      <c r="E56" s="21"/>
      <c r="F56" s="21"/>
      <c r="G56" s="21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21"/>
      <c r="B57" s="21"/>
      <c r="C57" s="21"/>
      <c r="E57" s="21"/>
      <c r="F57" s="21"/>
      <c r="G57" s="21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21"/>
      <c r="B58" s="21"/>
      <c r="C58" s="21"/>
      <c r="E58" s="21"/>
      <c r="F58" s="21"/>
      <c r="G58" s="21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21"/>
      <c r="B59" s="21"/>
      <c r="C59" s="21"/>
      <c r="E59" s="21"/>
      <c r="F59" s="21"/>
      <c r="G59" s="21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21"/>
      <c r="B60" s="21"/>
      <c r="C60" s="21"/>
      <c r="E60" s="21"/>
      <c r="F60" s="21"/>
      <c r="G60" s="21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21"/>
      <c r="B61" s="21"/>
      <c r="C61" s="21"/>
      <c r="E61" s="21"/>
      <c r="F61" s="21"/>
      <c r="G61" s="21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21"/>
      <c r="B62" s="21"/>
      <c r="C62" s="21"/>
      <c r="E62" s="21"/>
      <c r="F62" s="21"/>
      <c r="G62" s="21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21"/>
      <c r="B63" s="21"/>
      <c r="C63" s="21"/>
      <c r="E63" s="21"/>
      <c r="F63" s="21"/>
      <c r="G63" s="21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21"/>
      <c r="B64" s="21"/>
      <c r="C64" s="21"/>
      <c r="E64" s="21"/>
      <c r="F64" s="21"/>
      <c r="G64" s="21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21"/>
      <c r="B65" s="21"/>
      <c r="C65" s="21"/>
      <c r="E65" s="21"/>
      <c r="F65" s="21"/>
      <c r="G65" s="21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21"/>
      <c r="B66" s="21"/>
      <c r="C66" s="21"/>
      <c r="E66" s="21"/>
      <c r="F66" s="21"/>
      <c r="G66" s="21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21"/>
      <c r="B67" s="21"/>
      <c r="C67" s="21"/>
      <c r="E67" s="21"/>
      <c r="F67" s="21"/>
      <c r="G67" s="21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21"/>
      <c r="B68" s="21"/>
      <c r="C68" s="21"/>
      <c r="E68" s="21"/>
      <c r="F68" s="21"/>
      <c r="G68" s="21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21"/>
      <c r="B69" s="21"/>
      <c r="C69" s="21"/>
      <c r="E69" s="21"/>
      <c r="F69" s="21"/>
      <c r="G69" s="21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21"/>
      <c r="B70" s="21"/>
      <c r="C70" s="21"/>
      <c r="E70" s="21"/>
      <c r="F70" s="21"/>
      <c r="G70" s="21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21"/>
      <c r="B71" s="21"/>
      <c r="C71" s="21"/>
      <c r="E71" s="21"/>
      <c r="F71" s="21"/>
      <c r="G71" s="21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21"/>
      <c r="B72" s="21"/>
      <c r="C72" s="21"/>
      <c r="E72" s="21"/>
      <c r="F72" s="21"/>
      <c r="G72" s="21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21"/>
      <c r="B73" s="21"/>
      <c r="C73" s="21"/>
      <c r="E73" s="21"/>
      <c r="F73" s="21"/>
      <c r="G73" s="21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21"/>
      <c r="B74" s="21"/>
      <c r="C74" s="21"/>
      <c r="E74" s="21"/>
      <c r="F74" s="21"/>
      <c r="G74" s="21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21"/>
      <c r="B75" s="21"/>
      <c r="C75" s="21"/>
      <c r="E75" s="21"/>
      <c r="F75" s="21"/>
      <c r="G75" s="21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21"/>
      <c r="B76" s="21"/>
      <c r="C76" s="21"/>
      <c r="E76" s="21"/>
      <c r="F76" s="21"/>
      <c r="G76" s="21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21"/>
      <c r="B77" s="21"/>
      <c r="C77" s="21"/>
      <c r="E77" s="21"/>
      <c r="F77" s="21"/>
      <c r="G77" s="21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21"/>
      <c r="B78" s="21"/>
      <c r="C78" s="21"/>
      <c r="E78" s="21"/>
      <c r="F78" s="21"/>
      <c r="G78" s="21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21"/>
      <c r="B79" s="21"/>
      <c r="C79" s="21"/>
      <c r="E79" s="21"/>
      <c r="F79" s="21"/>
      <c r="G79" s="21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21"/>
      <c r="B80" s="21"/>
      <c r="C80" s="21"/>
      <c r="E80" s="21"/>
      <c r="F80" s="21"/>
      <c r="G80" s="21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21"/>
      <c r="B81" s="21"/>
      <c r="C81" s="21"/>
      <c r="E81" s="21"/>
      <c r="F81" s="21"/>
      <c r="G81" s="21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21"/>
      <c r="B82" s="21"/>
      <c r="C82" s="21"/>
      <c r="E82" s="21"/>
      <c r="F82" s="21"/>
      <c r="G82" s="21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21"/>
      <c r="B83" s="21"/>
      <c r="C83" s="21"/>
      <c r="E83" s="21"/>
      <c r="F83" s="21"/>
      <c r="G83" s="21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21"/>
      <c r="B84" s="21"/>
      <c r="C84" s="21"/>
      <c r="E84" s="21"/>
      <c r="F84" s="21"/>
      <c r="G84" s="21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21"/>
      <c r="B85" s="21"/>
      <c r="C85" s="21"/>
      <c r="E85" s="21"/>
      <c r="F85" s="21"/>
      <c r="G85" s="21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21"/>
      <c r="B86" s="21"/>
      <c r="C86" s="21"/>
      <c r="E86" s="21"/>
      <c r="F86" s="21"/>
      <c r="G86" s="21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21"/>
      <c r="B87" s="21"/>
      <c r="C87" s="21"/>
      <c r="E87" s="21"/>
      <c r="F87" s="21"/>
      <c r="G87" s="21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21"/>
      <c r="B88" s="21"/>
      <c r="C88" s="21"/>
      <c r="E88" s="21"/>
      <c r="F88" s="21"/>
      <c r="G88" s="21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21"/>
      <c r="B89" s="21"/>
      <c r="C89" s="21"/>
      <c r="E89" s="21"/>
      <c r="F89" s="21"/>
      <c r="G89" s="21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21"/>
      <c r="B90" s="21"/>
      <c r="C90" s="21"/>
      <c r="E90" s="21"/>
      <c r="F90" s="21"/>
      <c r="G90" s="21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21"/>
      <c r="B91" s="21"/>
      <c r="C91" s="21"/>
      <c r="E91" s="21"/>
      <c r="F91" s="21"/>
      <c r="G91" s="21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21"/>
      <c r="B92" s="21"/>
      <c r="C92" s="21"/>
      <c r="E92" s="21"/>
      <c r="F92" s="21"/>
      <c r="G92" s="21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21"/>
      <c r="B93" s="21"/>
      <c r="C93" s="21"/>
      <c r="E93" s="21"/>
      <c r="F93" s="21"/>
      <c r="G93" s="21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21"/>
      <c r="B94" s="21"/>
      <c r="C94" s="21"/>
      <c r="E94" s="21"/>
      <c r="F94" s="21"/>
      <c r="G94" s="21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BFB1-FA1F-4819-8DFE-BFD0D313714E}">
  <sheetPr codeName="Sheet9"/>
  <dimension ref="A1:V52"/>
  <sheetViews>
    <sheetView workbookViewId="0">
      <selection activeCell="F6" sqref="F6"/>
    </sheetView>
  </sheetViews>
  <sheetFormatPr defaultRowHeight="17.399999999999999" x14ac:dyDescent="0.4"/>
  <cols>
    <col min="1" max="1" width="15.19921875" style="19" customWidth="1"/>
    <col min="2" max="2" width="13.09765625" style="19" bestFit="1" customWidth="1"/>
    <col min="3" max="3" width="8.796875" style="19"/>
    <col min="4" max="5" width="13.09765625" style="19" bestFit="1" customWidth="1"/>
    <col min="6" max="6" width="8.796875" style="19"/>
    <col min="7" max="8" width="13.09765625" style="19" bestFit="1" customWidth="1"/>
    <col min="9" max="9" width="8.796875" style="19"/>
    <col min="10" max="11" width="13.09765625" style="19" bestFit="1" customWidth="1"/>
    <col min="12" max="16384" width="8.796875" style="19"/>
  </cols>
  <sheetData>
    <row r="1" spans="1:22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5" t="s">
        <v>215</v>
      </c>
      <c r="B3" s="6"/>
    </row>
    <row r="4" spans="1:22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</row>
    <row r="5" spans="1:22" x14ac:dyDescent="0.4">
      <c r="A5" s="10" t="s">
        <v>216</v>
      </c>
      <c r="B5" s="10" t="str">
        <f>"F_FX"&amp;B7&amp;B6</f>
        <v>F_FXKRWUSD</v>
      </c>
      <c r="D5" s="10" t="s">
        <v>216</v>
      </c>
      <c r="E5" s="10" t="str">
        <f>"F_FX"&amp;E7&amp;E6</f>
        <v>F_FXKRWEUR</v>
      </c>
      <c r="G5" s="10" t="s">
        <v>216</v>
      </c>
      <c r="H5" s="49" t="s">
        <v>230</v>
      </c>
      <c r="J5" s="10" t="s">
        <v>216</v>
      </c>
      <c r="K5" s="49" t="s">
        <v>232</v>
      </c>
      <c r="O5" s="27"/>
      <c r="P5" s="27"/>
      <c r="Q5" s="27"/>
      <c r="R5" s="27"/>
      <c r="S5" s="27"/>
      <c r="T5" s="27"/>
      <c r="U5" s="27"/>
      <c r="V5" s="27"/>
    </row>
    <row r="6" spans="1:22" x14ac:dyDescent="0.4">
      <c r="A6" s="10" t="s">
        <v>217</v>
      </c>
      <c r="B6" s="10" t="s">
        <v>218</v>
      </c>
      <c r="D6" s="10" t="s">
        <v>217</v>
      </c>
      <c r="E6" s="10" t="s">
        <v>219</v>
      </c>
      <c r="G6" s="10" t="s">
        <v>217</v>
      </c>
      <c r="H6" s="49" t="s">
        <v>218</v>
      </c>
      <c r="J6" s="10" t="s">
        <v>217</v>
      </c>
      <c r="K6" s="49" t="s">
        <v>218</v>
      </c>
      <c r="O6" s="27"/>
      <c r="P6" s="27"/>
      <c r="Q6" s="27"/>
      <c r="R6" s="27"/>
      <c r="S6" s="27"/>
      <c r="T6" s="27"/>
      <c r="U6" s="27"/>
      <c r="V6" s="27"/>
    </row>
    <row r="7" spans="1:22" x14ac:dyDescent="0.4">
      <c r="A7" s="10" t="s">
        <v>220</v>
      </c>
      <c r="B7" s="10" t="s">
        <v>86</v>
      </c>
      <c r="D7" s="10" t="s">
        <v>220</v>
      </c>
      <c r="E7" s="10" t="s">
        <v>86</v>
      </c>
      <c r="G7" s="10" t="s">
        <v>220</v>
      </c>
      <c r="H7" s="49" t="s">
        <v>231</v>
      </c>
      <c r="J7" s="10" t="s">
        <v>220</v>
      </c>
      <c r="K7" s="49" t="s">
        <v>219</v>
      </c>
      <c r="O7" s="27"/>
      <c r="P7" s="27"/>
      <c r="Q7" s="27"/>
      <c r="R7" s="27"/>
      <c r="S7" s="27"/>
      <c r="T7" s="27"/>
      <c r="U7" s="27"/>
      <c r="V7" s="27"/>
    </row>
    <row r="8" spans="1:22" x14ac:dyDescent="0.4">
      <c r="A8" s="10" t="s">
        <v>38</v>
      </c>
      <c r="B8" s="10" t="s">
        <v>221</v>
      </c>
      <c r="D8" s="10" t="s">
        <v>38</v>
      </c>
      <c r="E8" s="10" t="s">
        <v>221</v>
      </c>
      <c r="G8" s="10" t="s">
        <v>38</v>
      </c>
      <c r="H8" s="10" t="s">
        <v>221</v>
      </c>
      <c r="J8" s="10" t="s">
        <v>38</v>
      </c>
      <c r="K8" s="10" t="s">
        <v>221</v>
      </c>
      <c r="O8" s="27"/>
      <c r="P8" s="27"/>
      <c r="Q8" s="27"/>
      <c r="R8" s="27"/>
      <c r="S8" s="27"/>
      <c r="T8" s="27"/>
      <c r="U8" s="27"/>
      <c r="V8" s="27"/>
    </row>
    <row r="9" spans="1:22" x14ac:dyDescent="0.4">
      <c r="A9" s="41">
        <f>ROUND(1/360,5)</f>
        <v>2.7799999999999999E-3</v>
      </c>
      <c r="B9" s="42">
        <v>1375.35</v>
      </c>
      <c r="D9" s="41">
        <f>ROUND(1/360,5)</f>
        <v>2.7799999999999999E-3</v>
      </c>
      <c r="E9" s="42">
        <v>1468.32</v>
      </c>
      <c r="G9" s="41">
        <f>ROUND(1/360,5)</f>
        <v>2.7799999999999999E-3</v>
      </c>
      <c r="H9" s="42">
        <v>0.78</v>
      </c>
      <c r="J9" s="41">
        <f>ROUND(1/360,5)</f>
        <v>2.7799999999999999E-3</v>
      </c>
      <c r="K9" s="42">
        <v>1.2111000000000001</v>
      </c>
      <c r="O9" s="27"/>
      <c r="P9" s="27"/>
      <c r="Q9" s="27"/>
      <c r="R9" s="27"/>
      <c r="S9" s="27"/>
      <c r="T9" s="27"/>
      <c r="U9" s="27"/>
      <c r="V9" s="27"/>
    </row>
    <row r="10" spans="1:22" x14ac:dyDescent="0.4">
      <c r="A10" s="43">
        <f>ROUND(7/360, 5)</f>
        <v>1.9439999999999999E-2</v>
      </c>
      <c r="B10" s="44">
        <v>1374.86</v>
      </c>
      <c r="D10" s="43">
        <f>ROUND(7/360, 5)</f>
        <v>1.9439999999999999E-2</v>
      </c>
      <c r="E10" s="44">
        <v>1468.2</v>
      </c>
      <c r="G10" s="43">
        <f>ROUND(7/360, 5)</f>
        <v>1.9439999999999999E-2</v>
      </c>
      <c r="H10" s="44">
        <v>0.79</v>
      </c>
      <c r="J10" s="43">
        <f>ROUND(7/360, 5)</f>
        <v>1.9439999999999999E-2</v>
      </c>
      <c r="K10" s="44">
        <v>1.2222</v>
      </c>
      <c r="O10" s="27"/>
      <c r="P10" s="27"/>
      <c r="Q10" s="27"/>
      <c r="R10" s="27"/>
      <c r="S10" s="27"/>
      <c r="T10" s="27"/>
      <c r="U10" s="27"/>
      <c r="V10" s="27"/>
    </row>
    <row r="11" spans="1:22" x14ac:dyDescent="0.4">
      <c r="A11" s="43">
        <f>ROUND(30/360, 5)</f>
        <v>8.3330000000000001E-2</v>
      </c>
      <c r="B11" s="44">
        <v>1373.25</v>
      </c>
      <c r="D11" s="43">
        <f>ROUND(30/360, 5)</f>
        <v>8.3330000000000001E-2</v>
      </c>
      <c r="E11" s="44">
        <v>1467.84</v>
      </c>
      <c r="G11" s="43">
        <f>ROUND(30/360, 5)</f>
        <v>8.3330000000000001E-2</v>
      </c>
      <c r="H11" s="44">
        <v>0.8</v>
      </c>
      <c r="J11" s="43">
        <f>ROUND(30/360, 5)</f>
        <v>8.3330000000000001E-2</v>
      </c>
      <c r="K11" s="44">
        <v>1.2233000000000001</v>
      </c>
      <c r="O11" s="27"/>
      <c r="P11" s="27"/>
      <c r="Q11" s="27"/>
      <c r="R11" s="27"/>
      <c r="S11" s="27"/>
      <c r="T11" s="27"/>
      <c r="U11" s="27"/>
      <c r="V11" s="27"/>
    </row>
    <row r="12" spans="1:22" x14ac:dyDescent="0.4">
      <c r="A12" s="43">
        <v>0.25</v>
      </c>
      <c r="B12" s="44">
        <v>1368.74</v>
      </c>
      <c r="D12" s="43">
        <v>0.25</v>
      </c>
      <c r="E12" s="44">
        <v>1466.86</v>
      </c>
      <c r="G12" s="43">
        <v>0.25</v>
      </c>
      <c r="H12" s="44">
        <v>0.81</v>
      </c>
      <c r="J12" s="43">
        <v>0.25</v>
      </c>
      <c r="K12" s="44">
        <v>1.2243999999999999</v>
      </c>
      <c r="O12" s="27"/>
      <c r="P12" s="27"/>
      <c r="Q12" s="27"/>
      <c r="R12" s="27"/>
      <c r="S12" s="27"/>
      <c r="T12" s="27"/>
      <c r="U12" s="27"/>
      <c r="V12" s="27"/>
    </row>
    <row r="13" spans="1:22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</row>
    <row r="14" spans="1:22" x14ac:dyDescent="0.4">
      <c r="A14" s="43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</row>
    <row r="15" spans="1:22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</row>
    <row r="16" spans="1:22" x14ac:dyDescent="0.4">
      <c r="A16" s="43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3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3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3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3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19" t="s">
        <v>222</v>
      </c>
    </row>
    <row r="48" spans="1:22" x14ac:dyDescent="0.4">
      <c r="A48" s="43"/>
      <c r="B48" s="44"/>
      <c r="D48" s="43"/>
      <c r="E48" s="44"/>
      <c r="G48" s="43"/>
      <c r="H48" s="44"/>
      <c r="J48" s="43"/>
      <c r="K48" s="44"/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5"/>
      <c r="B52" s="46"/>
      <c r="D52" s="45"/>
      <c r="E52" s="46"/>
      <c r="G52" s="45"/>
      <c r="H52" s="46"/>
      <c r="J52" s="45"/>
      <c r="K52" s="4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B501-8E11-4C9D-9EB1-FE3355AD5A1A}">
  <sheetPr codeName="Sheet10"/>
  <dimension ref="A1:Z53"/>
  <sheetViews>
    <sheetView workbookViewId="0">
      <selection activeCell="Q8" sqref="Q8"/>
    </sheetView>
  </sheetViews>
  <sheetFormatPr defaultRowHeight="17.399999999999999" x14ac:dyDescent="0.4"/>
  <cols>
    <col min="1" max="1" width="15.19921875" style="19" customWidth="1"/>
    <col min="2" max="2" width="17.8984375" style="19" bestFit="1" customWidth="1"/>
    <col min="3" max="3" width="8.796875" style="19"/>
    <col min="4" max="4" width="13.69921875" style="19" bestFit="1" customWidth="1"/>
    <col min="5" max="5" width="17.8984375" style="19" bestFit="1" customWidth="1"/>
    <col min="6" max="6" width="8.796875" style="19"/>
    <col min="7" max="7" width="13.69921875" style="19" bestFit="1" customWidth="1"/>
    <col min="8" max="8" width="17.8984375" style="19" bestFit="1" customWidth="1"/>
    <col min="9" max="9" width="8.796875" style="19"/>
    <col min="10" max="10" width="13.69921875" style="19" bestFit="1" customWidth="1"/>
    <col min="11" max="11" width="17.8984375" style="19" bestFit="1" customWidth="1"/>
    <col min="12" max="16384" width="8.796875" style="19"/>
  </cols>
  <sheetData>
    <row r="1" spans="1:26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5" t="s">
        <v>233</v>
      </c>
      <c r="B3" s="6"/>
    </row>
    <row r="4" spans="1:26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4">
      <c r="A5" s="10" t="s">
        <v>209</v>
      </c>
      <c r="B5" s="10" t="s">
        <v>84</v>
      </c>
      <c r="D5" s="10" t="s">
        <v>209</v>
      </c>
      <c r="E5" s="10" t="s">
        <v>85</v>
      </c>
      <c r="G5" s="10" t="s">
        <v>209</v>
      </c>
      <c r="H5" s="10" t="s">
        <v>223</v>
      </c>
      <c r="J5" s="10" t="s">
        <v>209</v>
      </c>
      <c r="K5" s="10" t="s">
        <v>88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4">
      <c r="A6" s="10" t="s">
        <v>216</v>
      </c>
      <c r="B6" s="10" t="str">
        <f>B5&amp;"_D_CALB"</f>
        <v>KOSPI200_D_CALB</v>
      </c>
      <c r="D6" s="10" t="s">
        <v>216</v>
      </c>
      <c r="E6" s="10" t="str">
        <f>E5&amp;"_D_CALB"</f>
        <v>SPX_D_CALB</v>
      </c>
      <c r="G6" s="10" t="s">
        <v>216</v>
      </c>
      <c r="H6" s="10" t="str">
        <f>H5&amp;"_D_CALB"</f>
        <v>HSCEI_D_CALB</v>
      </c>
      <c r="J6" s="10" t="s">
        <v>216</v>
      </c>
      <c r="K6" s="10" t="str">
        <f>K5&amp;"_D_CALB"</f>
        <v>NKY_D_CALB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34.799999999999997" x14ac:dyDescent="0.4">
      <c r="A7" s="10" t="s">
        <v>224</v>
      </c>
      <c r="B7" s="47" t="str">
        <f>B6&amp;"보정 이산 배당흐름"</f>
        <v>KOSPI200_D_CALB보정 이산 배당흐름</v>
      </c>
      <c r="D7" s="10" t="s">
        <v>224</v>
      </c>
      <c r="E7" s="47" t="str">
        <f>E6&amp;"보정 이산 배당흐름"</f>
        <v>SPX_D_CALB보정 이산 배당흐름</v>
      </c>
      <c r="G7" s="10" t="s">
        <v>217</v>
      </c>
      <c r="H7" s="47" t="str">
        <f>H6&amp;"보정 이산 배당흐름"</f>
        <v>HSCEI_D_CALB보정 이산 배당흐름</v>
      </c>
      <c r="J7" s="10" t="s">
        <v>217</v>
      </c>
      <c r="K7" s="47" t="str">
        <f>K6&amp;"보정 이산 배당흐름"</f>
        <v>NKY_D_CALB보정 이산 배당흐름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4">
      <c r="A8" s="10" t="s">
        <v>225</v>
      </c>
      <c r="B8" s="10" t="s">
        <v>86</v>
      </c>
      <c r="D8" s="10" t="s">
        <v>225</v>
      </c>
      <c r="E8" s="10" t="s">
        <v>218</v>
      </c>
      <c r="G8" s="10" t="s">
        <v>225</v>
      </c>
      <c r="H8" s="10" t="s">
        <v>226</v>
      </c>
      <c r="J8" s="10" t="s">
        <v>225</v>
      </c>
      <c r="K8" s="10" t="s">
        <v>227</v>
      </c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4">
      <c r="A9" s="10" t="s">
        <v>228</v>
      </c>
      <c r="B9" s="10" t="s">
        <v>229</v>
      </c>
      <c r="D9" s="10" t="s">
        <v>228</v>
      </c>
      <c r="E9" s="10" t="s">
        <v>229</v>
      </c>
      <c r="G9" s="10" t="s">
        <v>228</v>
      </c>
      <c r="H9" s="10" t="s">
        <v>229</v>
      </c>
      <c r="J9" s="10" t="s">
        <v>228</v>
      </c>
      <c r="K9" s="10" t="s">
        <v>229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4">
      <c r="A10" s="41">
        <v>20240415</v>
      </c>
      <c r="B10" s="42">
        <v>6.7999999999999996E-3</v>
      </c>
      <c r="D10" s="41">
        <v>20240415</v>
      </c>
      <c r="E10" s="42">
        <v>0.51229999999999998</v>
      </c>
      <c r="G10" s="41">
        <v>20240415</v>
      </c>
      <c r="H10" s="42">
        <v>3.4066999999999998</v>
      </c>
      <c r="J10" s="41">
        <v>20240415</v>
      </c>
      <c r="K10" s="42">
        <v>295.18259999999998</v>
      </c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4">
      <c r="A11" s="43">
        <v>20240422</v>
      </c>
      <c r="B11" s="44">
        <v>7.7299999999999994E-2</v>
      </c>
      <c r="D11" s="43">
        <v>20240422</v>
      </c>
      <c r="E11" s="44">
        <v>9.1499999999999998E-2</v>
      </c>
      <c r="G11" s="43">
        <v>20240422</v>
      </c>
      <c r="H11" s="44">
        <v>0.76100000000000001</v>
      </c>
      <c r="J11" s="43">
        <v>20240422</v>
      </c>
      <c r="K11" s="44">
        <v>48.081400000000002</v>
      </c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4">
      <c r="A12" s="41">
        <v>20240429</v>
      </c>
      <c r="B12" s="44">
        <v>1.4800000000000001E-2</v>
      </c>
      <c r="D12" s="41">
        <v>20240429</v>
      </c>
      <c r="E12" s="44">
        <v>0.19800000000000001</v>
      </c>
      <c r="G12" s="41">
        <v>20240429</v>
      </c>
      <c r="H12" s="44">
        <v>3.5385</v>
      </c>
      <c r="J12" s="41">
        <v>20240429</v>
      </c>
      <c r="K12" s="44">
        <v>2.5794999999999999</v>
      </c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4">
      <c r="A14" s="41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4">
      <c r="A16" s="41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1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1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1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1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27"/>
      <c r="P47" s="27"/>
      <c r="Q47" s="27"/>
      <c r="R47" s="27"/>
      <c r="S47" s="27"/>
      <c r="T47" s="27"/>
      <c r="U47" s="27"/>
      <c r="V47" s="27"/>
    </row>
    <row r="48" spans="1:22" x14ac:dyDescent="0.4">
      <c r="A48" s="43"/>
      <c r="B48" s="44"/>
      <c r="D48" s="43"/>
      <c r="E48" s="44"/>
      <c r="G48" s="43"/>
      <c r="H48" s="44"/>
      <c r="J48" s="43"/>
      <c r="K48" s="44"/>
      <c r="O48" s="19" t="s">
        <v>222</v>
      </c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3"/>
      <c r="B52" s="44"/>
      <c r="D52" s="43"/>
      <c r="E52" s="44"/>
      <c r="G52" s="43"/>
      <c r="H52" s="44"/>
      <c r="J52" s="43"/>
      <c r="K52" s="44"/>
    </row>
    <row r="53" spans="1:11" x14ac:dyDescent="0.4">
      <c r="A53" s="45"/>
      <c r="B53" s="46"/>
      <c r="D53" s="45"/>
      <c r="E53" s="46"/>
      <c r="G53" s="45"/>
      <c r="H53" s="46"/>
      <c r="J53" s="45"/>
      <c r="K53" s="46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zoomScale="115" zoomScaleNormal="115" workbookViewId="0">
      <selection activeCell="G9" sqref="G9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133</v>
      </c>
      <c r="B1" s="1" t="s">
        <v>60</v>
      </c>
      <c r="C1" s="1" t="s">
        <v>61</v>
      </c>
      <c r="D1" s="1" t="s">
        <v>134</v>
      </c>
      <c r="E1" s="1" t="s">
        <v>135</v>
      </c>
      <c r="F1" s="1" t="s">
        <v>136</v>
      </c>
      <c r="G1" s="1" t="s">
        <v>62</v>
      </c>
      <c r="H1" s="1" t="s">
        <v>137</v>
      </c>
      <c r="K1" s="6"/>
    </row>
    <row r="2" spans="1:11" x14ac:dyDescent="0.4">
      <c r="A2" s="4" t="s">
        <v>138</v>
      </c>
      <c r="B2" s="3">
        <v>45288</v>
      </c>
      <c r="C2" s="4" t="s">
        <v>63</v>
      </c>
      <c r="D2" s="4" t="s">
        <v>139</v>
      </c>
      <c r="E2" s="4" t="s">
        <v>139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60" t="s">
        <v>64</v>
      </c>
      <c r="B4" s="1" t="s">
        <v>111</v>
      </c>
      <c r="C4" s="1" t="s">
        <v>140</v>
      </c>
      <c r="D4" s="1" t="s">
        <v>65</v>
      </c>
      <c r="E4" s="1" t="s">
        <v>66</v>
      </c>
    </row>
    <row r="5" spans="1:11" x14ac:dyDescent="0.4">
      <c r="A5" s="61"/>
      <c r="B5" s="8">
        <v>199</v>
      </c>
      <c r="C5" s="8" t="s">
        <v>157</v>
      </c>
      <c r="D5" s="33" t="s">
        <v>234</v>
      </c>
      <c r="E5" s="8"/>
    </row>
    <row r="7" spans="1:11" x14ac:dyDescent="0.4">
      <c r="F7" s="62" t="s">
        <v>158</v>
      </c>
      <c r="G7" s="62"/>
      <c r="H7" s="62"/>
      <c r="I7" s="62"/>
      <c r="J7" s="62"/>
      <c r="K7" s="62"/>
    </row>
    <row r="8" spans="1:11" x14ac:dyDescent="0.4">
      <c r="A8" s="31" t="s">
        <v>141</v>
      </c>
      <c r="B8" s="32"/>
      <c r="F8" s="34" t="s">
        <v>159</v>
      </c>
      <c r="G8" s="34" t="s">
        <v>160</v>
      </c>
      <c r="H8" s="34" t="s">
        <v>161</v>
      </c>
      <c r="I8" s="34" t="s">
        <v>162</v>
      </c>
      <c r="J8" s="34" t="s">
        <v>163</v>
      </c>
      <c r="K8" s="34" t="s">
        <v>164</v>
      </c>
    </row>
    <row r="9" spans="1:11" x14ac:dyDescent="0.4">
      <c r="A9" s="8" t="s">
        <v>142</v>
      </c>
      <c r="B9" s="8"/>
      <c r="F9" s="2">
        <v>81</v>
      </c>
      <c r="G9" s="2" t="s">
        <v>142</v>
      </c>
      <c r="H9" s="2" t="s">
        <v>165</v>
      </c>
      <c r="I9" s="2">
        <v>2.9652E-6</v>
      </c>
      <c r="K9" s="2" t="s">
        <v>166</v>
      </c>
    </row>
    <row r="10" spans="1:11" x14ac:dyDescent="0.4">
      <c r="A10" s="8" t="s">
        <v>143</v>
      </c>
      <c r="B10" s="8"/>
      <c r="F10" s="2">
        <v>81</v>
      </c>
      <c r="G10" s="2" t="s">
        <v>142</v>
      </c>
      <c r="H10" s="2" t="s">
        <v>167</v>
      </c>
      <c r="I10" s="2">
        <v>-4.4853835100000003E-2</v>
      </c>
      <c r="K10" s="2">
        <v>301</v>
      </c>
    </row>
    <row r="11" spans="1:11" x14ac:dyDescent="0.4">
      <c r="A11" s="8" t="s">
        <v>144</v>
      </c>
      <c r="B11" s="8"/>
      <c r="F11" s="2">
        <v>81</v>
      </c>
      <c r="G11" s="2" t="s">
        <v>142</v>
      </c>
      <c r="H11" s="2" t="s">
        <v>168</v>
      </c>
      <c r="I11" s="2">
        <v>-6.1217000000000002E-6</v>
      </c>
      <c r="K11" s="2">
        <v>301</v>
      </c>
    </row>
    <row r="12" spans="1:11" x14ac:dyDescent="0.4">
      <c r="A12" s="8" t="s">
        <v>145</v>
      </c>
      <c r="B12" s="8"/>
      <c r="F12" s="2">
        <v>81</v>
      </c>
      <c r="G12" s="2" t="s">
        <v>142</v>
      </c>
      <c r="H12" s="2" t="s">
        <v>169</v>
      </c>
      <c r="I12" s="35">
        <v>-9.8410000000000003E-7</v>
      </c>
      <c r="K12" s="2" t="s">
        <v>166</v>
      </c>
    </row>
    <row r="13" spans="1:11" x14ac:dyDescent="0.4">
      <c r="A13" s="8" t="s">
        <v>146</v>
      </c>
      <c r="B13" s="8"/>
      <c r="F13" s="2">
        <v>81</v>
      </c>
      <c r="G13" s="2" t="s">
        <v>142</v>
      </c>
      <c r="H13" s="2" t="s">
        <v>170</v>
      </c>
      <c r="I13" s="2">
        <v>-4.0484983500000002E-2</v>
      </c>
      <c r="K13" s="2">
        <v>301</v>
      </c>
    </row>
    <row r="14" spans="1:11" x14ac:dyDescent="0.4">
      <c r="A14" s="8" t="s">
        <v>147</v>
      </c>
      <c r="B14" s="8"/>
      <c r="F14" s="2">
        <v>81</v>
      </c>
      <c r="G14" s="2" t="s">
        <v>142</v>
      </c>
      <c r="H14" s="2" t="s">
        <v>171</v>
      </c>
      <c r="I14" s="2">
        <v>-1.5278199999999999E-5</v>
      </c>
      <c r="K14" s="2" t="s">
        <v>166</v>
      </c>
    </row>
    <row r="15" spans="1:11" x14ac:dyDescent="0.4">
      <c r="A15" s="8" t="s">
        <v>148</v>
      </c>
      <c r="B15" s="8"/>
      <c r="F15" s="2">
        <v>81</v>
      </c>
      <c r="G15" s="2" t="s">
        <v>142</v>
      </c>
      <c r="H15" s="2" t="s">
        <v>172</v>
      </c>
      <c r="I15" s="2">
        <v>-7.5990999999999998E-6</v>
      </c>
      <c r="K15" s="2">
        <v>301</v>
      </c>
    </row>
    <row r="16" spans="1:11" x14ac:dyDescent="0.4">
      <c r="A16" s="8" t="s">
        <v>149</v>
      </c>
      <c r="B16" s="8"/>
      <c r="F16" s="2">
        <v>81</v>
      </c>
      <c r="G16" s="2" t="s">
        <v>142</v>
      </c>
      <c r="H16" s="2" t="s">
        <v>173</v>
      </c>
      <c r="I16" s="35">
        <v>-1.3999999999999999E-9</v>
      </c>
      <c r="K16" s="2" t="s">
        <v>166</v>
      </c>
    </row>
    <row r="17" spans="1:11" x14ac:dyDescent="0.4">
      <c r="A17" s="8" t="s">
        <v>150</v>
      </c>
      <c r="B17" s="8"/>
      <c r="F17" s="2">
        <v>81</v>
      </c>
      <c r="G17" s="2" t="s">
        <v>142</v>
      </c>
      <c r="H17" s="2" t="s">
        <v>174</v>
      </c>
      <c r="I17" s="2">
        <v>-3.5671590099999997E-2</v>
      </c>
      <c r="K17" s="2">
        <v>301</v>
      </c>
    </row>
    <row r="18" spans="1:11" x14ac:dyDescent="0.4">
      <c r="A18" s="8" t="s">
        <v>151</v>
      </c>
      <c r="B18" s="8"/>
      <c r="F18" s="2">
        <v>81</v>
      </c>
      <c r="G18" s="2" t="s">
        <v>142</v>
      </c>
      <c r="H18" s="2" t="s">
        <v>175</v>
      </c>
      <c r="I18" s="35">
        <v>-8.5460000000000004E-7</v>
      </c>
      <c r="K18" s="2">
        <v>301</v>
      </c>
    </row>
    <row r="19" spans="1:11" x14ac:dyDescent="0.4">
      <c r="A19" s="8" t="s">
        <v>152</v>
      </c>
      <c r="B19" s="8"/>
      <c r="F19" s="2">
        <v>81</v>
      </c>
      <c r="G19" s="2" t="s">
        <v>142</v>
      </c>
      <c r="H19" s="2" t="s">
        <v>176</v>
      </c>
      <c r="I19" s="2">
        <v>-8.0893000000000006E-6</v>
      </c>
      <c r="K19" s="2" t="s">
        <v>166</v>
      </c>
    </row>
    <row r="20" spans="1:11" x14ac:dyDescent="0.4">
      <c r="A20" s="8" t="s">
        <v>153</v>
      </c>
      <c r="B20" s="8"/>
      <c r="F20" s="2">
        <v>81</v>
      </c>
      <c r="G20" s="2" t="s">
        <v>142</v>
      </c>
      <c r="H20" s="2" t="s">
        <v>177</v>
      </c>
      <c r="I20" s="2">
        <v>-7.9874047000000007E-3</v>
      </c>
      <c r="K20" s="2">
        <v>301</v>
      </c>
    </row>
    <row r="21" spans="1:11" x14ac:dyDescent="0.4">
      <c r="A21" s="8" t="s">
        <v>154</v>
      </c>
      <c r="B21" s="8"/>
      <c r="F21" s="2">
        <v>81</v>
      </c>
      <c r="G21" s="2" t="s">
        <v>142</v>
      </c>
      <c r="H21" s="2" t="s">
        <v>178</v>
      </c>
      <c r="I21" s="2">
        <v>-2.4405000000000002E-6</v>
      </c>
      <c r="K21" s="2" t="s">
        <v>166</v>
      </c>
    </row>
    <row r="22" spans="1:11" x14ac:dyDescent="0.4">
      <c r="A22" s="8" t="s">
        <v>155</v>
      </c>
      <c r="B22" s="8"/>
      <c r="F22" s="2">
        <v>81</v>
      </c>
      <c r="G22" s="2" t="s">
        <v>142</v>
      </c>
      <c r="H22" s="2" t="s">
        <v>171</v>
      </c>
      <c r="I22" s="2">
        <v>-0.15278198079999999</v>
      </c>
      <c r="K22" s="2">
        <v>301</v>
      </c>
    </row>
    <row r="23" spans="1:11" x14ac:dyDescent="0.4">
      <c r="A23" s="8" t="s">
        <v>156</v>
      </c>
      <c r="B23" s="8"/>
      <c r="F23" s="2">
        <v>81</v>
      </c>
      <c r="G23" s="2" t="s">
        <v>142</v>
      </c>
      <c r="H23" s="2" t="s">
        <v>179</v>
      </c>
      <c r="I23" s="2">
        <v>2.0867299999999999E-5</v>
      </c>
      <c r="J23" s="3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142</v>
      </c>
      <c r="H24" s="2" t="s">
        <v>180</v>
      </c>
      <c r="I24" s="35">
        <v>-9.8579999999999995E-7</v>
      </c>
      <c r="K24" s="2" t="s">
        <v>166</v>
      </c>
    </row>
    <row r="25" spans="1:11" x14ac:dyDescent="0.4">
      <c r="A25" s="8"/>
      <c r="B25" s="8"/>
      <c r="F25" s="2">
        <v>81</v>
      </c>
      <c r="G25" s="2" t="s">
        <v>142</v>
      </c>
      <c r="H25" s="2" t="s">
        <v>181</v>
      </c>
      <c r="I25" s="35">
        <v>3E-10</v>
      </c>
      <c r="K25" s="2" t="s">
        <v>166</v>
      </c>
    </row>
    <row r="26" spans="1:11" x14ac:dyDescent="0.4">
      <c r="A26" s="8"/>
      <c r="B26" s="8"/>
      <c r="F26" s="2">
        <v>81</v>
      </c>
      <c r="G26" s="2" t="s">
        <v>142</v>
      </c>
      <c r="H26" s="2" t="s">
        <v>182</v>
      </c>
      <c r="I26" s="2">
        <v>1.0583999999999999E-6</v>
      </c>
      <c r="K26" s="2" t="s">
        <v>166</v>
      </c>
    </row>
    <row r="27" spans="1:11" x14ac:dyDescent="0.4">
      <c r="A27" s="8"/>
      <c r="B27" s="8"/>
      <c r="F27" s="2">
        <v>81</v>
      </c>
      <c r="G27" s="2" t="s">
        <v>142</v>
      </c>
      <c r="H27" s="2" t="s">
        <v>167</v>
      </c>
      <c r="I27" s="2">
        <v>-4.4854000000000003E-6</v>
      </c>
      <c r="K27" s="2" t="s">
        <v>166</v>
      </c>
    </row>
    <row r="28" spans="1:11" x14ac:dyDescent="0.4">
      <c r="A28" s="8"/>
      <c r="B28" s="8"/>
      <c r="F28" s="2">
        <v>81</v>
      </c>
      <c r="G28" s="2" t="s">
        <v>142</v>
      </c>
      <c r="H28" s="2" t="s">
        <v>170</v>
      </c>
      <c r="I28" s="2">
        <v>-4.0485000000000003E-6</v>
      </c>
      <c r="K28" s="2" t="s">
        <v>166</v>
      </c>
    </row>
    <row r="29" spans="1:11" x14ac:dyDescent="0.4">
      <c r="F29" s="2">
        <v>81</v>
      </c>
      <c r="G29" s="2" t="s">
        <v>142</v>
      </c>
      <c r="H29" s="2" t="s">
        <v>183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142</v>
      </c>
      <c r="H30" s="2" t="s">
        <v>184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142</v>
      </c>
      <c r="H31" s="2" t="s">
        <v>185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142</v>
      </c>
      <c r="H32" s="2" t="s">
        <v>186</v>
      </c>
      <c r="I32" s="2">
        <v>-1.0022999999999999E-6</v>
      </c>
      <c r="K32" s="2" t="s">
        <v>166</v>
      </c>
    </row>
    <row r="33" spans="6:11" x14ac:dyDescent="0.4">
      <c r="F33" s="2">
        <v>81</v>
      </c>
      <c r="G33" s="2" t="s">
        <v>142</v>
      </c>
      <c r="H33" s="2" t="s">
        <v>182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142</v>
      </c>
      <c r="H34" s="2" t="s">
        <v>187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142</v>
      </c>
      <c r="H35" s="2" t="s">
        <v>168</v>
      </c>
      <c r="I35" s="35">
        <v>-6E-10</v>
      </c>
      <c r="K35" s="2" t="s">
        <v>166</v>
      </c>
    </row>
    <row r="36" spans="6:11" x14ac:dyDescent="0.4">
      <c r="F36" s="2">
        <v>81</v>
      </c>
      <c r="G36" s="2" t="s">
        <v>142</v>
      </c>
      <c r="H36" s="2" t="s">
        <v>188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142</v>
      </c>
      <c r="H37" s="2" t="s">
        <v>189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142</v>
      </c>
      <c r="H38" s="2" t="s">
        <v>190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142</v>
      </c>
      <c r="H39" s="2" t="s">
        <v>191</v>
      </c>
      <c r="I39" s="35">
        <v>3.6600000000000002E-7</v>
      </c>
      <c r="K39" s="2">
        <v>301</v>
      </c>
    </row>
    <row r="40" spans="6:11" x14ac:dyDescent="0.4">
      <c r="F40" s="2">
        <v>81</v>
      </c>
      <c r="G40" s="2" t="s">
        <v>142</v>
      </c>
      <c r="H40" s="2" t="s">
        <v>187</v>
      </c>
      <c r="I40" s="2">
        <v>-1.1333E-6</v>
      </c>
      <c r="K40" s="2" t="s">
        <v>166</v>
      </c>
    </row>
    <row r="41" spans="6:11" x14ac:dyDescent="0.4">
      <c r="F41" s="2">
        <v>81</v>
      </c>
      <c r="G41" s="2" t="s">
        <v>142</v>
      </c>
      <c r="H41" s="2" t="s">
        <v>192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142</v>
      </c>
      <c r="H42" s="2" t="s">
        <v>193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142</v>
      </c>
      <c r="H43" s="2" t="s">
        <v>194</v>
      </c>
      <c r="I43" s="2">
        <v>-1.2250999999999999E-6</v>
      </c>
      <c r="K43" s="2" t="s">
        <v>166</v>
      </c>
    </row>
    <row r="44" spans="6:11" x14ac:dyDescent="0.4">
      <c r="F44" s="2">
        <v>81</v>
      </c>
      <c r="G44" s="2" t="s">
        <v>142</v>
      </c>
      <c r="H44" s="2" t="s">
        <v>195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142</v>
      </c>
      <c r="H45" s="2" t="s">
        <v>165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142</v>
      </c>
      <c r="H46" s="2" t="s">
        <v>196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142</v>
      </c>
      <c r="H47" s="2" t="s">
        <v>197</v>
      </c>
      <c r="I47" s="2">
        <v>-4.2844E-6</v>
      </c>
      <c r="K47" s="2" t="s">
        <v>166</v>
      </c>
    </row>
    <row r="48" spans="6:11" x14ac:dyDescent="0.4">
      <c r="F48" s="2">
        <v>81</v>
      </c>
      <c r="G48" s="2" t="s">
        <v>142</v>
      </c>
      <c r="H48" s="2" t="s">
        <v>172</v>
      </c>
      <c r="I48" s="35">
        <v>-8.0000000000000003E-10</v>
      </c>
      <c r="K48" s="2" t="s">
        <v>166</v>
      </c>
    </row>
    <row r="49" spans="6:11" x14ac:dyDescent="0.4">
      <c r="F49" s="2">
        <v>81</v>
      </c>
      <c r="G49" s="2" t="s">
        <v>142</v>
      </c>
      <c r="H49" s="2" t="s">
        <v>18</v>
      </c>
      <c r="I49" s="2">
        <v>7.7968999999999998E-6</v>
      </c>
      <c r="J49" s="35">
        <v>-1.4040000000000001E-7</v>
      </c>
      <c r="K49" s="2">
        <v>301</v>
      </c>
    </row>
    <row r="50" spans="6:11" x14ac:dyDescent="0.4">
      <c r="F50" s="2">
        <v>81</v>
      </c>
      <c r="G50" s="2" t="s">
        <v>142</v>
      </c>
      <c r="H50" s="2" t="s">
        <v>188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142</v>
      </c>
      <c r="H51" s="2" t="s">
        <v>185</v>
      </c>
      <c r="I51" s="35">
        <v>-8.3030000000000002E-7</v>
      </c>
      <c r="K51" s="2" t="s">
        <v>166</v>
      </c>
    </row>
    <row r="52" spans="6:11" x14ac:dyDescent="0.4">
      <c r="F52" s="2">
        <v>81</v>
      </c>
      <c r="G52" s="2" t="s">
        <v>142</v>
      </c>
      <c r="H52" s="2" t="s">
        <v>198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142</v>
      </c>
      <c r="H53" s="2" t="s">
        <v>181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142</v>
      </c>
      <c r="H54" s="2" t="s">
        <v>177</v>
      </c>
      <c r="I54" s="35">
        <v>-7.9869999999999997E-7</v>
      </c>
      <c r="K54" s="2" t="s">
        <v>166</v>
      </c>
    </row>
    <row r="55" spans="6:11" x14ac:dyDescent="0.4">
      <c r="F55" s="2">
        <v>81</v>
      </c>
      <c r="G55" s="2" t="s">
        <v>142</v>
      </c>
      <c r="H55" s="2" t="s">
        <v>199</v>
      </c>
      <c r="I55" s="35">
        <v>2.4639999999999998E-7</v>
      </c>
      <c r="K55" s="2">
        <v>301</v>
      </c>
    </row>
    <row r="56" spans="6:11" x14ac:dyDescent="0.4">
      <c r="F56" s="2">
        <v>81</v>
      </c>
      <c r="G56" s="2" t="s">
        <v>142</v>
      </c>
      <c r="H56" s="2" t="s">
        <v>193</v>
      </c>
      <c r="I56" s="35">
        <v>-3E-9</v>
      </c>
      <c r="K56" s="2" t="s">
        <v>166</v>
      </c>
    </row>
    <row r="57" spans="6:11" x14ac:dyDescent="0.4">
      <c r="F57" s="2">
        <v>81</v>
      </c>
      <c r="G57" s="2" t="s">
        <v>142</v>
      </c>
      <c r="H57" s="2" t="s">
        <v>174</v>
      </c>
      <c r="I57" s="2">
        <v>-3.5671999999999999E-6</v>
      </c>
      <c r="K57" s="2" t="s">
        <v>166</v>
      </c>
    </row>
    <row r="58" spans="6:11" x14ac:dyDescent="0.4">
      <c r="F58" s="2">
        <v>81</v>
      </c>
      <c r="G58" s="2" t="s">
        <v>142</v>
      </c>
      <c r="H58" s="2" t="s">
        <v>200</v>
      </c>
      <c r="I58" s="2">
        <v>0</v>
      </c>
      <c r="K58" s="2" t="s">
        <v>166</v>
      </c>
    </row>
    <row r="59" spans="6:11" x14ac:dyDescent="0.4">
      <c r="F59" s="2">
        <v>81</v>
      </c>
      <c r="G59" s="2" t="s">
        <v>142</v>
      </c>
      <c r="H59" s="2" t="s">
        <v>198</v>
      </c>
      <c r="I59" s="35">
        <v>1.085E-7</v>
      </c>
      <c r="K59" s="2" t="s">
        <v>166</v>
      </c>
    </row>
    <row r="60" spans="6:11" x14ac:dyDescent="0.4">
      <c r="F60" s="2">
        <v>81</v>
      </c>
      <c r="G60" s="2" t="s">
        <v>142</v>
      </c>
      <c r="H60" s="2" t="s">
        <v>180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142</v>
      </c>
      <c r="H61" s="2" t="s">
        <v>189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142</v>
      </c>
      <c r="H62" s="2" t="s">
        <v>196</v>
      </c>
      <c r="I62" s="2">
        <v>-1.3407999999999999E-6</v>
      </c>
      <c r="K62" s="2" t="s">
        <v>166</v>
      </c>
    </row>
    <row r="63" spans="6:11" x14ac:dyDescent="0.4">
      <c r="F63" s="2">
        <v>81</v>
      </c>
      <c r="G63" s="2" t="s">
        <v>142</v>
      </c>
      <c r="H63" s="2" t="s">
        <v>201</v>
      </c>
      <c r="I63" s="2">
        <v>-1.325E-6</v>
      </c>
      <c r="K63" s="2" t="s">
        <v>166</v>
      </c>
    </row>
    <row r="64" spans="6:11" x14ac:dyDescent="0.4">
      <c r="F64" s="2">
        <v>81</v>
      </c>
      <c r="G64" s="2" t="s">
        <v>142</v>
      </c>
      <c r="H64" s="2" t="s">
        <v>201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142</v>
      </c>
      <c r="H65" s="2" t="s">
        <v>202</v>
      </c>
      <c r="I65" s="35">
        <v>8.2149999999999999E-7</v>
      </c>
      <c r="K65" s="2">
        <v>211</v>
      </c>
    </row>
    <row r="66" spans="6:11" x14ac:dyDescent="0.4">
      <c r="F66" s="2">
        <v>81</v>
      </c>
      <c r="G66" s="2" t="s">
        <v>142</v>
      </c>
      <c r="H66" s="2" t="s">
        <v>199</v>
      </c>
      <c r="I66" s="2">
        <v>0</v>
      </c>
      <c r="K66" s="2" t="s">
        <v>166</v>
      </c>
    </row>
    <row r="67" spans="6:11" x14ac:dyDescent="0.4">
      <c r="F67" s="2">
        <v>81</v>
      </c>
      <c r="G67" s="2" t="s">
        <v>142</v>
      </c>
      <c r="H67" s="2" t="s">
        <v>175</v>
      </c>
      <c r="I67" s="35">
        <v>-1E-10</v>
      </c>
      <c r="K67" s="2" t="s">
        <v>166</v>
      </c>
    </row>
    <row r="68" spans="6:11" x14ac:dyDescent="0.4">
      <c r="F68" s="2">
        <v>81</v>
      </c>
      <c r="G68" s="2" t="s">
        <v>142</v>
      </c>
      <c r="H68" s="2" t="s">
        <v>192</v>
      </c>
      <c r="I68" s="35">
        <v>-5.0000000000000003E-10</v>
      </c>
      <c r="K68" s="2" t="s">
        <v>166</v>
      </c>
    </row>
    <row r="69" spans="6:11" x14ac:dyDescent="0.4">
      <c r="F69" s="2">
        <v>81</v>
      </c>
      <c r="G69" s="2" t="s">
        <v>142</v>
      </c>
      <c r="H69" s="2" t="s">
        <v>200</v>
      </c>
      <c r="I69" s="35">
        <v>4.5999999999999999E-7</v>
      </c>
      <c r="K69" s="2">
        <v>301</v>
      </c>
    </row>
    <row r="70" spans="6:11" x14ac:dyDescent="0.4">
      <c r="F70" s="2">
        <v>81</v>
      </c>
      <c r="G70" s="2" t="s">
        <v>142</v>
      </c>
      <c r="H70" s="2" t="s">
        <v>173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142</v>
      </c>
      <c r="H71" s="2" t="s">
        <v>195</v>
      </c>
      <c r="I71" s="2">
        <v>-1.0043000000000001E-6</v>
      </c>
      <c r="K71" s="2" t="s">
        <v>166</v>
      </c>
    </row>
    <row r="72" spans="6:11" x14ac:dyDescent="0.4">
      <c r="F72" s="2">
        <v>81</v>
      </c>
      <c r="G72" s="2" t="s">
        <v>142</v>
      </c>
      <c r="H72" s="2" t="s">
        <v>191</v>
      </c>
      <c r="I72" s="2">
        <v>0</v>
      </c>
      <c r="K72" s="2" t="s">
        <v>166</v>
      </c>
    </row>
    <row r="73" spans="6:11" x14ac:dyDescent="0.4">
      <c r="F73" s="2">
        <v>81</v>
      </c>
      <c r="G73" s="2" t="s">
        <v>142</v>
      </c>
      <c r="H73" s="2" t="s">
        <v>203</v>
      </c>
      <c r="I73" s="2">
        <v>-2.7919000000000002E-5</v>
      </c>
      <c r="K73" s="2" t="s">
        <v>166</v>
      </c>
    </row>
    <row r="74" spans="6:11" x14ac:dyDescent="0.4">
      <c r="F74" s="2">
        <v>81</v>
      </c>
      <c r="G74" s="2" t="s">
        <v>142</v>
      </c>
      <c r="H74" s="2" t="s">
        <v>203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142</v>
      </c>
      <c r="H75" s="2" t="s">
        <v>176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142</v>
      </c>
      <c r="H76" s="2" t="s">
        <v>183</v>
      </c>
      <c r="I76" s="35">
        <v>-1E-10</v>
      </c>
      <c r="K76" s="2" t="s">
        <v>166</v>
      </c>
    </row>
    <row r="77" spans="6:11" x14ac:dyDescent="0.4">
      <c r="F77" s="2">
        <v>81</v>
      </c>
      <c r="G77" s="2" t="s">
        <v>142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142</v>
      </c>
      <c r="H78" s="2" t="s">
        <v>178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142</v>
      </c>
      <c r="H79" s="2" t="s">
        <v>202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142</v>
      </c>
      <c r="H80" s="2" t="s">
        <v>197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142</v>
      </c>
      <c r="H81" s="2" t="s">
        <v>204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142</v>
      </c>
      <c r="H82" s="2" t="s">
        <v>184</v>
      </c>
      <c r="I82" s="35">
        <v>-2.0000000000000001E-9</v>
      </c>
      <c r="K82" s="2" t="s">
        <v>166</v>
      </c>
    </row>
    <row r="83" spans="6:11" x14ac:dyDescent="0.4">
      <c r="F83" s="2">
        <v>81</v>
      </c>
      <c r="G83" s="2" t="s">
        <v>142</v>
      </c>
      <c r="H83" s="2" t="s">
        <v>204</v>
      </c>
      <c r="I83" s="35">
        <v>7.1490000000000003E-7</v>
      </c>
      <c r="K83" s="2" t="s">
        <v>166</v>
      </c>
    </row>
    <row r="84" spans="6:11" x14ac:dyDescent="0.4">
      <c r="F84" s="2">
        <v>81</v>
      </c>
      <c r="G84" s="2" t="s">
        <v>142</v>
      </c>
      <c r="H84" s="2" t="s">
        <v>194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142</v>
      </c>
      <c r="H85" s="2" t="s">
        <v>169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142</v>
      </c>
      <c r="H86" s="2" t="s">
        <v>186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zoomScaleNormal="100" workbookViewId="0">
      <selection activeCell="F9" sqref="F9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1" t="s">
        <v>109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20" t="s">
        <v>110</v>
      </c>
      <c r="G2" s="2"/>
      <c r="I2" s="2"/>
      <c r="Q2" s="63" t="s">
        <v>91</v>
      </c>
      <c r="R2" s="64"/>
      <c r="S2" s="64"/>
      <c r="T2" s="64"/>
      <c r="U2" s="64"/>
      <c r="V2" s="64"/>
      <c r="W2" s="64"/>
      <c r="X2" s="64"/>
      <c r="Y2" s="65"/>
      <c r="Z2" s="25"/>
      <c r="AA2" s="25"/>
      <c r="AB2" s="25"/>
      <c r="AC2" s="25"/>
      <c r="AD2" s="25"/>
      <c r="AH2" s="26"/>
      <c r="AI2" s="27"/>
      <c r="AJ2" s="27"/>
      <c r="AK2" s="27"/>
      <c r="AL2" s="27"/>
      <c r="AM2" s="27"/>
      <c r="AN2" s="27"/>
    </row>
    <row r="3" spans="1:44" x14ac:dyDescent="0.4">
      <c r="A3" s="18"/>
      <c r="B3" s="18"/>
      <c r="C3" s="2"/>
      <c r="D3" s="2"/>
      <c r="E3" s="2"/>
      <c r="F3" s="2"/>
      <c r="G3" s="2"/>
      <c r="I3" s="2"/>
      <c r="Q3" s="66"/>
      <c r="R3" s="67"/>
      <c r="S3" s="67"/>
      <c r="T3" s="67"/>
      <c r="U3" s="67"/>
      <c r="V3" s="67"/>
      <c r="W3" s="67"/>
      <c r="X3" s="67"/>
      <c r="Y3" s="68"/>
      <c r="Z3" s="25"/>
      <c r="AA3" s="25"/>
      <c r="AB3" s="25"/>
      <c r="AC3" s="25"/>
      <c r="AD3" s="25"/>
      <c r="AH3" s="27"/>
      <c r="AI3" s="27"/>
      <c r="AJ3" s="27"/>
      <c r="AK3" s="27"/>
      <c r="AL3" s="27"/>
      <c r="AM3" s="27"/>
      <c r="AN3" s="27"/>
    </row>
    <row r="4" spans="1:44" x14ac:dyDescent="0.4">
      <c r="A4" s="60" t="s">
        <v>64</v>
      </c>
      <c r="B4" s="1" t="s">
        <v>111</v>
      </c>
      <c r="C4" s="1" t="s">
        <v>112</v>
      </c>
      <c r="D4" s="1" t="s">
        <v>65</v>
      </c>
      <c r="E4" s="1" t="s">
        <v>66</v>
      </c>
      <c r="G4" s="2"/>
      <c r="I4" s="2"/>
      <c r="Q4" s="66"/>
      <c r="R4" s="67"/>
      <c r="S4" s="67"/>
      <c r="T4" s="67"/>
      <c r="U4" s="67"/>
      <c r="V4" s="67"/>
      <c r="W4" s="67"/>
      <c r="X4" s="67"/>
      <c r="Y4" s="68"/>
      <c r="Z4" s="25"/>
      <c r="AA4" s="25"/>
      <c r="AB4" s="25"/>
      <c r="AC4" s="25"/>
      <c r="AD4" s="25"/>
      <c r="AH4" s="27"/>
      <c r="AI4" s="27"/>
      <c r="AJ4" s="27"/>
      <c r="AK4" s="27"/>
      <c r="AL4" s="27"/>
      <c r="AM4" s="27"/>
      <c r="AN4" s="27"/>
    </row>
    <row r="5" spans="1:44" x14ac:dyDescent="0.4">
      <c r="A5" s="61"/>
      <c r="B5" s="4">
        <v>197</v>
      </c>
      <c r="C5" s="4" t="s">
        <v>113</v>
      </c>
      <c r="D5" s="28" t="s">
        <v>205</v>
      </c>
      <c r="E5" s="4"/>
      <c r="G5" s="2"/>
      <c r="I5" s="2"/>
      <c r="Q5" s="66"/>
      <c r="R5" s="67"/>
      <c r="S5" s="67"/>
      <c r="T5" s="67"/>
      <c r="U5" s="67"/>
      <c r="V5" s="67"/>
      <c r="W5" s="67"/>
      <c r="X5" s="67"/>
      <c r="Y5" s="68"/>
      <c r="Z5" s="25"/>
      <c r="AA5" s="25"/>
      <c r="AB5" s="25"/>
      <c r="AC5" s="25"/>
      <c r="AD5" s="25"/>
      <c r="AF5" s="19" t="s">
        <v>114</v>
      </c>
      <c r="AH5" s="27"/>
      <c r="AI5" s="27"/>
      <c r="AJ5" s="27"/>
      <c r="AK5" s="27"/>
      <c r="AL5" s="27"/>
      <c r="AM5" s="27"/>
      <c r="AN5" s="27"/>
    </row>
    <row r="6" spans="1:44" ht="16.5" customHeight="1" x14ac:dyDescent="0.4">
      <c r="Q6" s="66"/>
      <c r="R6" s="67"/>
      <c r="S6" s="67"/>
      <c r="T6" s="67"/>
      <c r="U6" s="67"/>
      <c r="V6" s="67"/>
      <c r="W6" s="67"/>
      <c r="X6" s="67"/>
      <c r="Y6" s="68"/>
      <c r="Z6" s="25"/>
      <c r="AA6" s="25"/>
      <c r="AB6" s="25"/>
      <c r="AC6" s="25"/>
      <c r="AD6" s="2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1:44" x14ac:dyDescent="0.4">
      <c r="Q7" s="69"/>
      <c r="R7" s="70"/>
      <c r="S7" s="70"/>
      <c r="T7" s="70"/>
      <c r="U7" s="70"/>
      <c r="V7" s="70"/>
      <c r="W7" s="70"/>
      <c r="X7" s="70"/>
      <c r="Y7" s="71"/>
      <c r="Z7" s="25"/>
      <c r="AA7" s="25"/>
      <c r="AB7" s="25"/>
      <c r="AC7" s="25"/>
      <c r="AD7" s="25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</row>
    <row r="9" spans="1:44" s="18" customFormat="1" ht="34.799999999999997" x14ac:dyDescent="0.4">
      <c r="A9" s="29" t="s">
        <v>69</v>
      </c>
      <c r="B9" s="29" t="s">
        <v>115</v>
      </c>
      <c r="C9" s="29" t="s">
        <v>70</v>
      </c>
      <c r="D9" s="29" t="s">
        <v>71</v>
      </c>
      <c r="E9" s="29" t="s">
        <v>72</v>
      </c>
      <c r="F9" s="29" t="s">
        <v>73</v>
      </c>
      <c r="G9" s="29" t="s">
        <v>74</v>
      </c>
      <c r="H9" s="29" t="s">
        <v>75</v>
      </c>
      <c r="I9" s="29" t="s">
        <v>76</v>
      </c>
      <c r="J9" s="29" t="s">
        <v>77</v>
      </c>
      <c r="K9" s="29" t="s">
        <v>92</v>
      </c>
      <c r="L9" s="29" t="s">
        <v>116</v>
      </c>
      <c r="M9" s="29" t="s">
        <v>78</v>
      </c>
      <c r="N9" s="29" t="s">
        <v>93</v>
      </c>
      <c r="O9" s="29" t="s">
        <v>79</v>
      </c>
      <c r="P9" s="29" t="s">
        <v>80</v>
      </c>
      <c r="Q9" s="29" t="s">
        <v>94</v>
      </c>
      <c r="R9" s="29" t="s">
        <v>95</v>
      </c>
      <c r="S9" s="29" t="s">
        <v>96</v>
      </c>
      <c r="T9" s="29" t="s">
        <v>97</v>
      </c>
      <c r="U9" s="29" t="s">
        <v>98</v>
      </c>
      <c r="V9" s="29" t="s">
        <v>99</v>
      </c>
      <c r="W9" s="29" t="s">
        <v>100</v>
      </c>
      <c r="X9" s="29" t="s">
        <v>101</v>
      </c>
      <c r="Y9" s="29" t="s">
        <v>102</v>
      </c>
      <c r="Z9" s="29" t="s">
        <v>117</v>
      </c>
      <c r="AA9" s="29" t="s">
        <v>118</v>
      </c>
      <c r="AB9" s="29" t="s">
        <v>119</v>
      </c>
      <c r="AC9" s="30" t="s">
        <v>120</v>
      </c>
      <c r="AD9" s="29" t="s">
        <v>121</v>
      </c>
      <c r="AE9" s="29" t="s">
        <v>81</v>
      </c>
      <c r="AF9" s="29" t="s">
        <v>122</v>
      </c>
      <c r="AG9" s="29" t="s">
        <v>82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0" spans="1:44" x14ac:dyDescent="0.4">
      <c r="A10" s="20">
        <v>1</v>
      </c>
      <c r="B10" s="20" t="s">
        <v>242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240</v>
      </c>
      <c r="I10" s="21" t="s">
        <v>241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132</v>
      </c>
      <c r="AG10" s="21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</row>
    <row r="11" spans="1:44" x14ac:dyDescent="0.4">
      <c r="A11" s="20">
        <v>2</v>
      </c>
      <c r="B11" s="20" t="s">
        <v>243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132</v>
      </c>
      <c r="AG11" s="21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</row>
    <row r="12" spans="1:44" x14ac:dyDescent="0.4">
      <c r="A12" s="20">
        <v>3</v>
      </c>
      <c r="B12" s="20" t="s">
        <v>244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132</v>
      </c>
      <c r="AG12" s="21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  <row r="13" spans="1:44" x14ac:dyDescent="0.4">
      <c r="A13" s="20">
        <v>4</v>
      </c>
      <c r="B13" s="20" t="s">
        <v>245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132</v>
      </c>
      <c r="AG13" s="21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</row>
    <row r="14" spans="1:44" x14ac:dyDescent="0.4">
      <c r="A14" s="20">
        <v>5</v>
      </c>
      <c r="B14" s="20" t="s">
        <v>246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132</v>
      </c>
      <c r="AG14" s="21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</row>
    <row r="15" spans="1:44" x14ac:dyDescent="0.4">
      <c r="A15" s="20">
        <v>6</v>
      </c>
      <c r="B15" s="20" t="s">
        <v>247</v>
      </c>
      <c r="C15" s="20">
        <v>20231218</v>
      </c>
      <c r="D15" s="21" t="s">
        <v>123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124</v>
      </c>
      <c r="AA15" s="21" t="s">
        <v>125</v>
      </c>
      <c r="AB15" s="21">
        <v>3</v>
      </c>
      <c r="AC15" s="21">
        <v>0.01</v>
      </c>
      <c r="AD15" s="21" t="s">
        <v>126</v>
      </c>
      <c r="AE15" s="21" t="s">
        <v>86</v>
      </c>
      <c r="AF15" s="21" t="s">
        <v>132</v>
      </c>
      <c r="AG15" s="21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</row>
    <row r="16" spans="1:44" x14ac:dyDescent="0.4">
      <c r="A16" s="20">
        <v>7</v>
      </c>
      <c r="B16" s="20" t="s">
        <v>248</v>
      </c>
      <c r="C16" s="20">
        <v>20231218</v>
      </c>
      <c r="D16" s="21" t="s">
        <v>127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128</v>
      </c>
      <c r="AA16" s="21" t="s">
        <v>125</v>
      </c>
      <c r="AB16" s="21">
        <v>3</v>
      </c>
      <c r="AC16" s="21">
        <v>0.01</v>
      </c>
      <c r="AD16" s="21" t="s">
        <v>126</v>
      </c>
      <c r="AE16" s="21" t="s">
        <v>86</v>
      </c>
      <c r="AF16" s="21" t="s">
        <v>132</v>
      </c>
      <c r="AG16" s="21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</row>
    <row r="17" spans="1:44" x14ac:dyDescent="0.4">
      <c r="A17" s="20">
        <v>8</v>
      </c>
      <c r="B17" s="20" t="s">
        <v>249</v>
      </c>
      <c r="C17" s="20">
        <v>20231218</v>
      </c>
      <c r="D17" s="21" t="s">
        <v>129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130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131</v>
      </c>
      <c r="AA17" s="21" t="s">
        <v>125</v>
      </c>
      <c r="AB17" s="21">
        <v>3</v>
      </c>
      <c r="AC17" s="21">
        <v>0.01</v>
      </c>
      <c r="AD17" s="21" t="s">
        <v>126</v>
      </c>
      <c r="AE17" s="21" t="s">
        <v>86</v>
      </c>
      <c r="AF17" s="21" t="s">
        <v>132</v>
      </c>
      <c r="AG17" s="21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Market Data</vt:lpstr>
      <vt:lpstr>Vol</vt:lpstr>
      <vt:lpstr>DiscreteDividend</vt:lpstr>
      <vt:lpstr>Dividend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2024-07-22T12:45:21Z</dcterms:modified>
</cp:coreProperties>
</file>