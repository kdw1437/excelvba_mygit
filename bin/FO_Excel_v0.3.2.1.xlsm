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66CDECFC-7301-4EF1-8FE8-534D1C7ED4F2}" xr6:coauthVersionLast="47" xr6:coauthVersionMax="47" xr10:uidLastSave="{00000000-0000-0000-0000-000000000000}"/>
  <bookViews>
    <workbookView xWindow="-30828" yWindow="-108" windowWidth="30936" windowHeight="16896" firstSheet="1" activeTab="2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<sst xmlns="http://schemas.openxmlformats.org/spreadsheetml/2006/main" count="356" uniqueCount="178">
  <si>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</si>
  <si>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</si>
  <si>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</si>
  <si>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</si>
  <si>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</si>
  <si>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</si>
  <si>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</si>
  <si>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</si>
  <si>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</si>
  <si>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</si>
  <si>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</si>
  <si>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</si>
  <si>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</si>
  <si>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</si>
  <si>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</si>
  <si>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</si>
  <si>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</si>
  <si>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</si>
  <si>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</si>
  <si>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</si>
  <si>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</si>
  <si>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</si>
  <si>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</si>
  <si>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</si>
  <si>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</si>
  <si>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</si>
  <si>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</si>
  <si>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</si>
  <si>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</si>
  <si>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</si>
  <si>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</si>
  <si>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</si>
  <si>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</si>
  <si>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</si>
  <si>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</si>
  <si>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</si>
  <si>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</si>
  <si>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</si>
  <si>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</si>
  <si>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</si>
  <si>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</si>
  <si>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</si>
  <si>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</si>
  <si>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</si>
  <si>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</si>
  <si>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</si>
  <si>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</si>
  <si>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</si>
  <si>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</si>
  <si>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</si>
  <si>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</si>
  <si>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</si>
  <si>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</si>
  <si>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</si>
  <si>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</si>
  <si>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</si>
  <si>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</si>
  <si>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</si>
  <si>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</si>
  <si>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</si>
  <si>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</si>
  <si>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</si>
  <si>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</si>
  <si>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</si>
  <si>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</si>
  <si>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</si>
  <si>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</si>
  <si>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</si>
  <si>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</si>
  <si>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</si>
  <si>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</si>
  <si>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</si>
  <si>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</si>
  <si>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</si>
  <si>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</si>
  <si>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</si>
  <si>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</si>
  <si>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</si>
  <si>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</si>
  <si>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</si>
  <si>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</si>
  <si>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</si>
  <si>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</si>
  <si>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</si>
  <si>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</si>
  <si>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</si>
  <si>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</si>
  <si>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</si>
  <si>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</si>
  <si>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</si>
  <si>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</si>
  <si>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</si>
  <si>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</si>
  <si>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</si>
  <si>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</si>
  <si>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</si>
  <si>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</si>
  <si>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</si>
  <si>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</si>
  <si>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</si>
  <si>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</si>
  <si>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</si>
  <si>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</si>
  <si>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</si>
  <si>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</si>
  <si>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</si>
  <si>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</si>
  <si>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</si>
  <si>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</si>
  <si>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</si>
  <si>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</si>
  <si>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</si>
  <si>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</si>
  <si>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</si>
  <si>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</si>
  <si>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</si>
  <si>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</si>
  <si>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</si>
  <si>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</si>
  <si>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</si>
  <si>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</si>
  <si>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</si>
  <si>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</si>
  <si>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</si>
  <si>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</si>
  <si>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</si>
  <si>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</si>
  <si>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</si>
  <si>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</si>
  <si>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</si>
  <si>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</si>
  <si>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</si>
  <si>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</si>
  <si>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</si>
  <si>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</si>
  <si>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</si>
  <si>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</si>
  <si>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입력)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</si>
  <si>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</si>
  <si>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</si>
  <si>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</si>
  <si>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</si>
  <si>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</si>
  <si>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</si>
  <si>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</si>
  <si>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</si>
  <si>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</si>
  <si>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</si>
  <si>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</si>
  <si>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Value는 DVID_DT에 지급될 예상 배당금</t>
    <phoneticPr fontId="1" type="noConversion"/>
  </si>
  <si>
    <t>JPY</t>
    <phoneticPr fontId="1" type="noConversion"/>
  </si>
  <si>
    <t>EUR</t>
    <phoneticPr fontId="1" type="noConversion"/>
  </si>
  <si>
    <t>GBP</t>
    <phoneticPr fontId="1" type="noConversion"/>
  </si>
  <si>
    <t>Discrete Dividend</t>
    <phoneticPr fontId="1" type="noConversion"/>
  </si>
  <si>
    <t>Official Data</t>
  </si>
  <si>
    <t>기초자산 코드</t>
  </si>
  <si>
    <t>데이터 ID</t>
  </si>
  <si>
    <t>데이터 이름</t>
  </si>
  <si>
    <t>기준통화</t>
  </si>
  <si>
    <t>통화</t>
  </si>
  <si>
    <t>KRW</t>
  </si>
  <si>
    <t>USD</t>
  </si>
  <si>
    <t>HKD</t>
  </si>
  <si>
    <t>JPY</t>
  </si>
  <si>
    <t>DVID_DT</t>
  </si>
  <si>
    <t>AMOUNT</t>
  </si>
  <si>
    <t>KOSPI200_D_CALB</t>
  </si>
  <si>
    <t>SPX_D_CALB</t>
  </si>
  <si>
    <t>HSCEI_D_CALB</t>
  </si>
  <si>
    <t>NKY_D_CALB</t>
  </si>
  <si>
    <t>KOSPI200_D_CALB보정 이산 배당흐름</t>
  </si>
  <si>
    <t>SPX_D_CALB보정 이산 배당흐름</t>
  </si>
  <si>
    <t>HSCEI_D_CALB보정 이산 배당흐름</t>
  </si>
  <si>
    <t>NKY_D_CALB보정 이산 배당흐름</t>
  </si>
  <si>
    <t>F_FXEURUSD</t>
    <phoneticPr fontId="1" type="noConversion"/>
  </si>
  <si>
    <t>F_FXJPYUSD</t>
    <phoneticPr fontId="1" type="noConversion"/>
  </si>
  <si>
    <t>F_FXGBPUSD</t>
    <phoneticPr fontId="1" type="noConversion"/>
  </si>
  <si>
    <t>F_FXKRWUSD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</si>
</sst>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679260" y="28575"/>
          <a:ext cx="1748044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workbookViewId="0">
      <selection activeCell="D42" sqref="D42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43" t="s">
        <v>27</v>
      </c>
      <c r="B5" s="43"/>
      <c r="C5" s="43"/>
      <c r="D5" s="43"/>
      <c r="E5" s="43"/>
      <c r="F5" s="43"/>
      <c r="G5" s="43"/>
      <c r="H5" s="43"/>
      <c r="I5" s="43"/>
      <c r="M5" s="43" t="s">
        <v>36</v>
      </c>
      <c r="N5" s="43"/>
      <c r="O5" s="43"/>
      <c r="P5" s="43"/>
      <c r="Q5" s="43"/>
      <c r="R5" s="43"/>
      <c r="S5" s="43"/>
      <c r="T5" s="43"/>
      <c r="U5" s="43"/>
    </row>
    <row r="6" spans="1:21" x14ac:dyDescent="0.4">
      <c r="A6" s="41" t="s">
        <v>3</v>
      </c>
      <c r="B6" s="41" t="s">
        <v>4</v>
      </c>
      <c r="C6" s="40" t="s">
        <v>5</v>
      </c>
      <c r="D6" s="40"/>
      <c r="E6" s="40"/>
      <c r="F6" s="40"/>
      <c r="G6" s="40"/>
      <c r="H6" s="40"/>
      <c r="I6" s="40"/>
      <c r="M6" s="41" t="s">
        <v>3</v>
      </c>
      <c r="N6" s="41" t="s">
        <v>4</v>
      </c>
      <c r="O6" s="40" t="s">
        <v>5</v>
      </c>
      <c r="P6" s="40"/>
      <c r="Q6" s="40"/>
      <c r="R6" s="40"/>
      <c r="S6" s="40"/>
      <c r="T6" s="40"/>
      <c r="U6" s="40"/>
    </row>
    <row r="7" spans="1:21" x14ac:dyDescent="0.4">
      <c r="A7" s="42"/>
      <c r="B7" s="42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42"/>
      <c r="N7" s="42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43" t="s">
        <v>27</v>
      </c>
      <c r="B17" s="43"/>
      <c r="C17" s="43"/>
      <c r="D17" s="43"/>
      <c r="E17" s="43"/>
      <c r="F17" s="43"/>
      <c r="G17" s="43"/>
      <c r="H17" s="43"/>
      <c r="I17" s="43"/>
      <c r="J17" s="43"/>
      <c r="M17" s="43" t="s">
        <v>35</v>
      </c>
      <c r="N17" s="43"/>
      <c r="O17" s="43"/>
      <c r="P17" s="43"/>
      <c r="Q17" s="43"/>
      <c r="R17" s="43"/>
      <c r="S17" s="43"/>
      <c r="T17" s="43"/>
      <c r="U17" s="43"/>
      <c r="V17" s="43"/>
    </row>
    <row r="18" spans="1:22" x14ac:dyDescent="0.4">
      <c r="A18" s="41" t="s">
        <v>3</v>
      </c>
      <c r="B18" s="41" t="s">
        <v>21</v>
      </c>
      <c r="C18" s="41" t="s">
        <v>22</v>
      </c>
      <c r="D18" s="40" t="s">
        <v>5</v>
      </c>
      <c r="E18" s="40"/>
      <c r="F18" s="40"/>
      <c r="G18" s="40"/>
      <c r="H18" s="40"/>
      <c r="I18" s="40"/>
      <c r="J18" s="40"/>
      <c r="M18" s="41" t="s">
        <v>3</v>
      </c>
      <c r="N18" s="41" t="s">
        <v>21</v>
      </c>
      <c r="O18" s="41" t="s">
        <v>22</v>
      </c>
      <c r="P18" s="40" t="s">
        <v>5</v>
      </c>
      <c r="Q18" s="40"/>
      <c r="R18" s="40"/>
      <c r="S18" s="40"/>
      <c r="T18" s="40"/>
      <c r="U18" s="40"/>
      <c r="V18" s="40"/>
    </row>
    <row r="19" spans="1:22" x14ac:dyDescent="0.4">
      <c r="A19" s="42"/>
      <c r="B19" s="42"/>
      <c r="C19" s="42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2"/>
      <c r="N19" s="42"/>
      <c r="O19" s="42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43" t="s">
        <v>27</v>
      </c>
      <c r="B26" s="43"/>
      <c r="C26" s="43"/>
      <c r="D26" s="43"/>
      <c r="E26" s="43"/>
      <c r="F26" s="43"/>
      <c r="G26" s="43"/>
      <c r="H26" s="43"/>
      <c r="I26" s="43"/>
      <c r="J26" s="43"/>
      <c r="M26" s="37" t="s">
        <v>36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5:U5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43" t="s">
        <v>46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D3" s="7" t="s">
        <v>3</v>
      </c>
      <c r="AE3" s="43" t="s">
        <v>46</v>
      </c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3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3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3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3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3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3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3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3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3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3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3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3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3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3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3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3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3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3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3" t="s">
        <v>46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D15" s="7" t="s">
        <v>3</v>
      </c>
      <c r="AE15" s="43" t="s">
        <v>46</v>
      </c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3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3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3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3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3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3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3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3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3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3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3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3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3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3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3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3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3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3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3" t="s">
        <v>46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D27" s="7" t="s">
        <v>3</v>
      </c>
      <c r="AE27" s="43" t="s">
        <v>46</v>
      </c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3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3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3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3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3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3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3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3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3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3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3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3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3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3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3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3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3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3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3" t="s">
        <v>46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D39" s="7" t="s">
        <v>3</v>
      </c>
      <c r="AE39" s="43" t="s">
        <v>46</v>
      </c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3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3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3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3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3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3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3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3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3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3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3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3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3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3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3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3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3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3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B27:AA27"/>
    <mergeCell ref="A29:A37"/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abSelected="1" workbookViewId="0">
      <selection activeCell="G18" sqref="G18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137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 t="s">
        <v>88</v>
      </c>
      <c r="B6" s="13" t="s">
        <v>150</v>
      </c>
      <c r="C6" s="13">
        <v>25.5</v>
      </c>
      <c r="E6" s="13" t="s">
        <v>77</v>
      </c>
      <c r="F6" s="13" t="s">
        <v>88</v>
      </c>
      <c r="G6" s="13">
        <v>0.26</v>
      </c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O4" sqref="O4:V46"/>
    </sheetView>
  </sheetViews>
  <sheetFormatPr defaultRowHeight="17.399999999999999" x14ac:dyDescent="0.4"/>
  <cols>
    <col min="1" max="1" width="15.19921875" customWidth="1"/>
    <col min="2" max="2" width="11.09765625" bestFit="1" customWidth="1"/>
  </cols>
  <sheetData>
    <row r="1" spans="1:22" x14ac:dyDescent="0.4">
      <c r="A1" s="13" t="s">
        <v>134</v>
      </c>
      <c r="B1" s="31">
        <v>45394</v>
      </c>
      <c r="D1" s="47" t="s">
        <v>145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141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147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144</v>
      </c>
      <c r="B5" s="8" t="s">
        <v>174</v>
      </c>
      <c r="D5" s="8" t="s">
        <v>144</v>
      </c>
      <c r="E5" s="8" t="s">
        <v>175</v>
      </c>
      <c r="G5" s="8" t="s">
        <v>144</v>
      </c>
      <c r="H5" s="8" t="s">
        <v>176</v>
      </c>
      <c r="J5" s="8" t="s">
        <v>144</v>
      </c>
      <c r="K5" s="8" t="s">
        <v>177</v>
      </c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142</v>
      </c>
      <c r="B6" s="8" t="s">
        <v>39</v>
      </c>
      <c r="D6" s="8" t="s">
        <v>142</v>
      </c>
      <c r="E6" s="8" t="s">
        <v>39</v>
      </c>
      <c r="G6" s="8" t="s">
        <v>142</v>
      </c>
      <c r="H6" s="8" t="s">
        <v>39</v>
      </c>
      <c r="J6" s="8" t="s">
        <v>142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143</v>
      </c>
      <c r="B7" s="8" t="s">
        <v>151</v>
      </c>
      <c r="D7" s="8" t="s">
        <v>143</v>
      </c>
      <c r="E7" s="8" t="s">
        <v>150</v>
      </c>
      <c r="G7" s="8" t="s">
        <v>143</v>
      </c>
      <c r="H7" s="8" t="s">
        <v>152</v>
      </c>
      <c r="J7" s="8" t="s">
        <v>143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v>2.7799999999999999E-3</v>
      </c>
      <c r="B9" s="24">
        <v>1</v>
      </c>
      <c r="D9" s="23">
        <v>2.7799999999999999E-3</v>
      </c>
      <c r="E9" s="24">
        <v>1</v>
      </c>
      <c r="G9" s="23">
        <v>2.7799999999999999E-3</v>
      </c>
      <c r="H9" s="24">
        <v>1</v>
      </c>
      <c r="J9" s="23">
        <v>2.7799999999999999E-3</v>
      </c>
      <c r="K9" s="24">
        <v>1</v>
      </c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v>0.25</v>
      </c>
      <c r="B10" s="26">
        <v>2</v>
      </c>
      <c r="D10" s="25">
        <v>0.25</v>
      </c>
      <c r="E10" s="26">
        <v>2</v>
      </c>
      <c r="G10" s="25">
        <v>0.25</v>
      </c>
      <c r="H10" s="26">
        <v>2</v>
      </c>
      <c r="J10" s="25">
        <v>0.25</v>
      </c>
      <c r="K10" s="26">
        <v>2</v>
      </c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v>0.5</v>
      </c>
      <c r="B11" s="26">
        <v>3</v>
      </c>
      <c r="D11" s="25">
        <v>0.5</v>
      </c>
      <c r="E11" s="26">
        <v>3</v>
      </c>
      <c r="G11" s="25">
        <v>0.5</v>
      </c>
      <c r="H11" s="26">
        <v>3</v>
      </c>
      <c r="J11" s="25">
        <v>0.5</v>
      </c>
      <c r="K11" s="26">
        <v>3</v>
      </c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0.75</v>
      </c>
      <c r="B12" s="24">
        <v>4</v>
      </c>
      <c r="D12" s="25">
        <v>0.75</v>
      </c>
      <c r="E12" s="24">
        <v>4</v>
      </c>
      <c r="G12" s="25">
        <v>0.75</v>
      </c>
      <c r="H12" s="24">
        <v>4</v>
      </c>
      <c r="J12" s="25">
        <v>0.75</v>
      </c>
      <c r="K12" s="26">
        <v>4</v>
      </c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>
        <v>1</v>
      </c>
      <c r="B13" s="26">
        <v>5</v>
      </c>
      <c r="D13" s="25">
        <v>1</v>
      </c>
      <c r="E13" s="26">
        <v>5</v>
      </c>
      <c r="G13" s="25">
        <v>1</v>
      </c>
      <c r="H13" s="26">
        <v>5</v>
      </c>
      <c r="J13" s="25">
        <v>1</v>
      </c>
      <c r="K13" s="26">
        <v>5</v>
      </c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>
        <v>1.25</v>
      </c>
      <c r="B14" s="26">
        <v>6</v>
      </c>
      <c r="D14" s="25">
        <v>1.25</v>
      </c>
      <c r="E14" s="26">
        <v>6</v>
      </c>
      <c r="G14" s="25">
        <v>1.25</v>
      </c>
      <c r="H14" s="26">
        <v>6</v>
      </c>
      <c r="J14" s="25">
        <v>1.25</v>
      </c>
      <c r="K14" s="26">
        <v>6</v>
      </c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>
        <v>1.5</v>
      </c>
      <c r="B15" s="24">
        <v>7</v>
      </c>
      <c r="D15" s="25">
        <v>1.5</v>
      </c>
      <c r="E15" s="24">
        <v>7</v>
      </c>
      <c r="G15" s="25">
        <v>1.5</v>
      </c>
      <c r="H15" s="24">
        <v>7</v>
      </c>
      <c r="J15" s="25">
        <v>1.5</v>
      </c>
      <c r="K15" s="26">
        <v>7</v>
      </c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>
        <v>1.75</v>
      </c>
      <c r="B16" s="26">
        <v>8</v>
      </c>
      <c r="D16" s="25">
        <v>1.75</v>
      </c>
      <c r="E16" s="26">
        <v>8</v>
      </c>
      <c r="G16" s="25">
        <v>1.75</v>
      </c>
      <c r="H16" s="26">
        <v>8</v>
      </c>
      <c r="J16" s="25">
        <v>1.75</v>
      </c>
      <c r="K16" s="26">
        <v>8</v>
      </c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>
        <v>2</v>
      </c>
      <c r="B17" s="26">
        <v>9</v>
      </c>
      <c r="D17" s="25">
        <v>2</v>
      </c>
      <c r="E17" s="26">
        <v>9</v>
      </c>
      <c r="G17" s="25">
        <v>2</v>
      </c>
      <c r="H17" s="26">
        <v>9</v>
      </c>
      <c r="J17" s="25">
        <v>2</v>
      </c>
      <c r="K17" s="26">
        <v>9</v>
      </c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>
        <v>2.25</v>
      </c>
      <c r="B18" s="24">
        <v>10</v>
      </c>
      <c r="D18" s="25">
        <v>2.25</v>
      </c>
      <c r="E18" s="24">
        <v>10</v>
      </c>
      <c r="G18" s="25">
        <v>2.25</v>
      </c>
      <c r="H18" s="24">
        <v>10</v>
      </c>
      <c r="J18" s="25">
        <v>2.25</v>
      </c>
      <c r="K18" s="26">
        <v>10</v>
      </c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>
        <v>2.5</v>
      </c>
      <c r="B19" s="26">
        <v>11</v>
      </c>
      <c r="D19" s="25">
        <v>2.5</v>
      </c>
      <c r="E19" s="26">
        <v>11</v>
      </c>
      <c r="G19" s="25">
        <v>2.5</v>
      </c>
      <c r="H19" s="26">
        <v>11</v>
      </c>
      <c r="J19" s="25">
        <v>2.5</v>
      </c>
      <c r="K19" s="24">
        <v>11</v>
      </c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>
        <v>2.75</v>
      </c>
      <c r="B20" s="26">
        <v>12</v>
      </c>
      <c r="D20" s="25">
        <v>2.75</v>
      </c>
      <c r="E20" s="26">
        <v>12</v>
      </c>
      <c r="G20" s="25">
        <v>2.75</v>
      </c>
      <c r="H20" s="26">
        <v>12</v>
      </c>
      <c r="J20" s="25">
        <v>2.75</v>
      </c>
      <c r="K20" s="26">
        <v>12</v>
      </c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>
        <v>3</v>
      </c>
      <c r="B21" s="24">
        <v>13</v>
      </c>
      <c r="D21" s="25">
        <v>3</v>
      </c>
      <c r="E21" s="24">
        <v>13</v>
      </c>
      <c r="G21" s="25">
        <v>3</v>
      </c>
      <c r="H21" s="24">
        <v>13</v>
      </c>
      <c r="J21" s="25">
        <v>3</v>
      </c>
      <c r="K21" s="26">
        <v>13</v>
      </c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>
        <v>3.25</v>
      </c>
      <c r="B22" s="26">
        <v>14</v>
      </c>
      <c r="D22" s="25">
        <v>3.25</v>
      </c>
      <c r="E22" s="26">
        <v>14</v>
      </c>
      <c r="G22" s="25">
        <v>3.25</v>
      </c>
      <c r="H22" s="26">
        <v>14</v>
      </c>
      <c r="J22" s="25">
        <v>3.25</v>
      </c>
      <c r="K22" s="26">
        <v>14</v>
      </c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>
        <v>3.5</v>
      </c>
      <c r="B23" s="26">
        <v>15</v>
      </c>
      <c r="D23" s="25">
        <v>3.5</v>
      </c>
      <c r="E23" s="26">
        <v>15</v>
      </c>
      <c r="G23" s="25">
        <v>3.5</v>
      </c>
      <c r="H23" s="26">
        <v>15</v>
      </c>
      <c r="J23" s="25">
        <v>3.5</v>
      </c>
      <c r="K23" s="26">
        <v>15</v>
      </c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>
        <v>3.75</v>
      </c>
      <c r="B24" s="24">
        <v>16</v>
      </c>
      <c r="D24" s="25">
        <v>3.75</v>
      </c>
      <c r="E24" s="24">
        <v>16</v>
      </c>
      <c r="G24" s="25">
        <v>3.75</v>
      </c>
      <c r="H24" s="24">
        <v>16</v>
      </c>
      <c r="J24" s="25">
        <v>3.75</v>
      </c>
      <c r="K24" s="26">
        <v>16</v>
      </c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>
        <v>4</v>
      </c>
      <c r="B25" s="26">
        <v>17</v>
      </c>
      <c r="D25" s="25">
        <v>4</v>
      </c>
      <c r="E25" s="26">
        <v>17</v>
      </c>
      <c r="G25" s="25">
        <v>4</v>
      </c>
      <c r="H25" s="26">
        <v>17</v>
      </c>
      <c r="J25" s="25">
        <v>4</v>
      </c>
      <c r="K25" s="26">
        <v>17</v>
      </c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>
        <v>4.25</v>
      </c>
      <c r="B26" s="26">
        <v>18</v>
      </c>
      <c r="D26" s="25">
        <v>4.25</v>
      </c>
      <c r="E26" s="26">
        <v>18</v>
      </c>
      <c r="G26" s="25">
        <v>4.25</v>
      </c>
      <c r="H26" s="26">
        <v>18</v>
      </c>
      <c r="J26" s="25">
        <v>4.25</v>
      </c>
      <c r="K26" s="26">
        <v>18</v>
      </c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>
        <v>4.5</v>
      </c>
      <c r="B27" s="24">
        <v>19</v>
      </c>
      <c r="D27" s="25">
        <v>4.5</v>
      </c>
      <c r="E27" s="24">
        <v>19</v>
      </c>
      <c r="G27" s="25">
        <v>4.5</v>
      </c>
      <c r="H27" s="24">
        <v>19</v>
      </c>
      <c r="J27" s="25">
        <v>4.5</v>
      </c>
      <c r="K27" s="26">
        <v>19</v>
      </c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>
        <v>4.75</v>
      </c>
      <c r="B28" s="26">
        <v>20</v>
      </c>
      <c r="D28" s="25">
        <v>4.75</v>
      </c>
      <c r="E28" s="26">
        <v>20</v>
      </c>
      <c r="G28" s="25">
        <v>4.75</v>
      </c>
      <c r="H28" s="26">
        <v>20</v>
      </c>
      <c r="J28" s="25">
        <v>4.75</v>
      </c>
      <c r="K28" s="26">
        <v>20</v>
      </c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>
        <v>5</v>
      </c>
      <c r="B29" s="26">
        <v>21</v>
      </c>
      <c r="D29" s="25">
        <v>5</v>
      </c>
      <c r="E29" s="26">
        <v>21</v>
      </c>
      <c r="G29" s="25">
        <v>5</v>
      </c>
      <c r="H29" s="26">
        <v>21</v>
      </c>
      <c r="J29" s="25">
        <v>5</v>
      </c>
      <c r="K29" s="24">
        <v>21</v>
      </c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>
        <v>5.25</v>
      </c>
      <c r="B30" s="24">
        <v>22</v>
      </c>
      <c r="D30" s="25">
        <v>5.25</v>
      </c>
      <c r="E30" s="24">
        <v>22</v>
      </c>
      <c r="G30" s="25">
        <v>5.25</v>
      </c>
      <c r="H30" s="24">
        <v>22</v>
      </c>
      <c r="J30" s="25">
        <v>5.25</v>
      </c>
      <c r="K30" s="26">
        <v>22</v>
      </c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>
        <v>5.5</v>
      </c>
      <c r="B31" s="26">
        <v>23</v>
      </c>
      <c r="D31" s="25">
        <v>5.5</v>
      </c>
      <c r="E31" s="26">
        <v>23</v>
      </c>
      <c r="G31" s="25">
        <v>5.5</v>
      </c>
      <c r="H31" s="26">
        <v>23</v>
      </c>
      <c r="J31" s="25">
        <v>5.5</v>
      </c>
      <c r="K31" s="26">
        <v>23</v>
      </c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>
        <v>5.75</v>
      </c>
      <c r="B32" s="26">
        <v>24</v>
      </c>
      <c r="D32" s="25">
        <v>5.75</v>
      </c>
      <c r="E32" s="26">
        <v>24</v>
      </c>
      <c r="G32" s="25">
        <v>5.75</v>
      </c>
      <c r="H32" s="26">
        <v>24</v>
      </c>
      <c r="J32" s="25">
        <v>5.75</v>
      </c>
      <c r="K32" s="26">
        <v>24</v>
      </c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>
        <v>6</v>
      </c>
      <c r="B33" s="24">
        <v>25</v>
      </c>
      <c r="D33" s="25">
        <v>6</v>
      </c>
      <c r="E33" s="24">
        <v>25</v>
      </c>
      <c r="G33" s="25">
        <v>6</v>
      </c>
      <c r="H33" s="24">
        <v>25</v>
      </c>
      <c r="J33" s="25">
        <v>6</v>
      </c>
      <c r="K33" s="26">
        <v>25</v>
      </c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>
        <v>6.25</v>
      </c>
      <c r="B34" s="26">
        <v>26</v>
      </c>
      <c r="D34" s="25">
        <v>6.25</v>
      </c>
      <c r="E34" s="26">
        <v>26</v>
      </c>
      <c r="G34" s="25">
        <v>6.25</v>
      </c>
      <c r="H34" s="26">
        <v>26</v>
      </c>
      <c r="J34" s="25">
        <v>6.25</v>
      </c>
      <c r="K34" s="26">
        <v>26</v>
      </c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>
        <v>6.5</v>
      </c>
      <c r="B35" s="26">
        <v>27</v>
      </c>
      <c r="D35" s="25">
        <v>6.5</v>
      </c>
      <c r="E35" s="26">
        <v>27</v>
      </c>
      <c r="G35" s="25">
        <v>6.5</v>
      </c>
      <c r="H35" s="26">
        <v>27</v>
      </c>
      <c r="J35" s="25">
        <v>6.5</v>
      </c>
      <c r="K35" s="26">
        <v>27</v>
      </c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>
        <v>6.75</v>
      </c>
      <c r="B36" s="24">
        <v>28</v>
      </c>
      <c r="D36" s="25">
        <v>6.75</v>
      </c>
      <c r="E36" s="24">
        <v>28</v>
      </c>
      <c r="G36" s="25">
        <v>6.75</v>
      </c>
      <c r="H36" s="24">
        <v>28</v>
      </c>
      <c r="J36" s="25">
        <v>6.75</v>
      </c>
      <c r="K36" s="26">
        <v>28</v>
      </c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>
        <v>7</v>
      </c>
      <c r="B37" s="26">
        <v>29</v>
      </c>
      <c r="D37" s="25">
        <v>7</v>
      </c>
      <c r="E37" s="26">
        <v>29</v>
      </c>
      <c r="G37" s="25">
        <v>7</v>
      </c>
      <c r="H37" s="26">
        <v>29</v>
      </c>
      <c r="J37" s="25">
        <v>7</v>
      </c>
      <c r="K37" s="26">
        <v>29</v>
      </c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>
        <v>7.25</v>
      </c>
      <c r="B38" s="26">
        <v>30</v>
      </c>
      <c r="D38" s="25">
        <v>7.25</v>
      </c>
      <c r="E38" s="26">
        <v>30</v>
      </c>
      <c r="G38" s="25">
        <v>7.25</v>
      </c>
      <c r="H38" s="26">
        <v>30</v>
      </c>
      <c r="J38" s="25">
        <v>7.25</v>
      </c>
      <c r="K38" s="26">
        <v>30</v>
      </c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>
        <v>7.5</v>
      </c>
      <c r="B39" s="24">
        <v>31</v>
      </c>
      <c r="D39" s="25">
        <v>7.5</v>
      </c>
      <c r="E39" s="24">
        <v>31</v>
      </c>
      <c r="G39" s="25">
        <v>7.5</v>
      </c>
      <c r="H39" s="24">
        <v>31</v>
      </c>
      <c r="J39" s="25">
        <v>7.5</v>
      </c>
      <c r="K39" s="24">
        <v>31</v>
      </c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>
        <v>7.75</v>
      </c>
      <c r="B40" s="26">
        <v>32</v>
      </c>
      <c r="D40" s="25">
        <v>7.75</v>
      </c>
      <c r="E40" s="26">
        <v>32</v>
      </c>
      <c r="G40" s="25">
        <v>7.75</v>
      </c>
      <c r="H40" s="26">
        <v>32</v>
      </c>
      <c r="J40" s="25">
        <v>7.75</v>
      </c>
      <c r="K40" s="26">
        <v>32</v>
      </c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>
        <v>8</v>
      </c>
      <c r="B41" s="26">
        <v>33</v>
      </c>
      <c r="D41" s="25">
        <v>8</v>
      </c>
      <c r="E41" s="26">
        <v>33</v>
      </c>
      <c r="G41" s="25">
        <v>8</v>
      </c>
      <c r="H41" s="26">
        <v>33</v>
      </c>
      <c r="J41" s="25">
        <v>8</v>
      </c>
      <c r="K41" s="26">
        <v>33</v>
      </c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>
        <v>8.25</v>
      </c>
      <c r="B42" s="24">
        <v>34</v>
      </c>
      <c r="D42" s="25">
        <v>8.25</v>
      </c>
      <c r="E42" s="24">
        <v>34</v>
      </c>
      <c r="G42" s="25">
        <v>8.25</v>
      </c>
      <c r="H42" s="24">
        <v>34</v>
      </c>
      <c r="J42" s="25">
        <v>8.25</v>
      </c>
      <c r="K42" s="26">
        <v>34</v>
      </c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>
        <v>8.5</v>
      </c>
      <c r="B43" s="26">
        <v>35</v>
      </c>
      <c r="D43" s="25">
        <v>8.5</v>
      </c>
      <c r="E43" s="26">
        <v>35</v>
      </c>
      <c r="G43" s="25">
        <v>8.5</v>
      </c>
      <c r="H43" s="26">
        <v>35</v>
      </c>
      <c r="J43" s="25">
        <v>8.5</v>
      </c>
      <c r="K43" s="26">
        <v>35</v>
      </c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>
        <v>8.75</v>
      </c>
      <c r="B44" s="26">
        <v>36</v>
      </c>
      <c r="D44" s="25">
        <v>8.75</v>
      </c>
      <c r="E44" s="26">
        <v>36</v>
      </c>
      <c r="G44" s="25">
        <v>8.75</v>
      </c>
      <c r="H44" s="26">
        <v>36</v>
      </c>
      <c r="J44" s="25">
        <v>8.75</v>
      </c>
      <c r="K44" s="26">
        <v>36</v>
      </c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>
        <v>9</v>
      </c>
      <c r="B45" s="24">
        <v>37</v>
      </c>
      <c r="D45" s="25">
        <v>9</v>
      </c>
      <c r="E45" s="24">
        <v>37</v>
      </c>
      <c r="G45" s="25">
        <v>9</v>
      </c>
      <c r="H45" s="24">
        <v>37</v>
      </c>
      <c r="J45" s="25">
        <v>9</v>
      </c>
      <c r="K45" s="26">
        <v>37</v>
      </c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>
        <v>9.25</v>
      </c>
      <c r="B46" s="26">
        <v>38</v>
      </c>
      <c r="D46" s="25">
        <v>9.25</v>
      </c>
      <c r="E46" s="26">
        <v>38</v>
      </c>
      <c r="G46" s="25">
        <v>9.25</v>
      </c>
      <c r="H46" s="26">
        <v>38</v>
      </c>
      <c r="J46" s="25">
        <v>9.25</v>
      </c>
      <c r="K46" s="26">
        <v>38</v>
      </c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>
        <v>9.5</v>
      </c>
      <c r="B47" s="26">
        <v>39</v>
      </c>
      <c r="D47" s="25">
        <v>9.5</v>
      </c>
      <c r="E47" s="26">
        <v>39</v>
      </c>
      <c r="G47" s="25">
        <v>9.5</v>
      </c>
      <c r="H47" s="26">
        <v>39</v>
      </c>
      <c r="J47" s="25">
        <v>9.5</v>
      </c>
      <c r="K47" s="26">
        <v>39</v>
      </c>
      <c r="O47" t="s">
        <v>146</v>
      </c>
    </row>
    <row r="48" spans="1:22" x14ac:dyDescent="0.4">
      <c r="A48" s="25">
        <v>9.75</v>
      </c>
      <c r="B48" s="24">
        <v>40</v>
      </c>
      <c r="D48" s="25">
        <v>9.75</v>
      </c>
      <c r="E48" s="24">
        <v>40</v>
      </c>
      <c r="G48" s="25">
        <v>9.75</v>
      </c>
      <c r="H48" s="24">
        <v>40</v>
      </c>
      <c r="J48" s="25">
        <v>9.75</v>
      </c>
      <c r="K48" s="26">
        <v>40</v>
      </c>
    </row>
    <row r="49" spans="1:11" x14ac:dyDescent="0.4">
      <c r="A49" s="25">
        <v>10</v>
      </c>
      <c r="B49" s="26">
        <v>41</v>
      </c>
      <c r="D49" s="25">
        <v>10</v>
      </c>
      <c r="E49" s="26">
        <v>41</v>
      </c>
      <c r="G49" s="25">
        <v>10</v>
      </c>
      <c r="H49" s="26">
        <v>41</v>
      </c>
      <c r="J49" s="25">
        <v>10</v>
      </c>
      <c r="K49" s="24">
        <v>41</v>
      </c>
    </row>
    <row r="50" spans="1:11" x14ac:dyDescent="0.4">
      <c r="A50" s="25">
        <v>12</v>
      </c>
      <c r="B50" s="26">
        <v>42</v>
      </c>
      <c r="D50" s="25">
        <v>12</v>
      </c>
      <c r="E50" s="26">
        <v>42</v>
      </c>
      <c r="G50" s="25">
        <v>12</v>
      </c>
      <c r="H50" s="26">
        <v>42</v>
      </c>
      <c r="J50" s="25">
        <v>12</v>
      </c>
      <c r="K50" s="26">
        <v>42</v>
      </c>
    </row>
    <row r="51" spans="1:11" x14ac:dyDescent="0.4">
      <c r="A51" s="25">
        <v>15</v>
      </c>
      <c r="B51" s="24">
        <v>43</v>
      </c>
      <c r="D51" s="25">
        <v>15</v>
      </c>
      <c r="E51" s="24">
        <v>43</v>
      </c>
      <c r="G51" s="25">
        <v>15</v>
      </c>
      <c r="H51" s="24">
        <v>43</v>
      </c>
      <c r="J51" s="25">
        <v>15</v>
      </c>
      <c r="K51" s="26">
        <v>43</v>
      </c>
    </row>
    <row r="52" spans="1:11" x14ac:dyDescent="0.4">
      <c r="A52" s="27">
        <v>20</v>
      </c>
      <c r="B52" s="26">
        <v>44</v>
      </c>
      <c r="D52" s="27">
        <v>20</v>
      </c>
      <c r="E52" s="26">
        <v>44</v>
      </c>
      <c r="G52" s="27">
        <v>20</v>
      </c>
      <c r="H52" s="26">
        <v>44</v>
      </c>
      <c r="J52" s="27">
        <v>20</v>
      </c>
      <c r="K52" s="26">
        <v>44</v>
      </c>
    </row>
  </sheetData>
  <dataConsolidate/>
  <mergeCells count="2">
    <mergeCell ref="D1:K2"/>
    <mergeCell ref="O4:V4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2"/>
  <sheetViews>
    <sheetView workbookViewId="0">
      <selection activeCell="H10" sqref="H10"/>
    </sheetView>
  </sheetViews>
  <sheetFormatPr defaultRowHeight="17.399999999999999" x14ac:dyDescent="0.4"/>
  <cols>
    <col min="1" max="1" width="16.5" bestFit="1" customWidth="1"/>
    <col min="2" max="2" width="17.19921875" bestFit="1" customWidth="1"/>
    <col min="4" max="4" width="13" bestFit="1" customWidth="1"/>
    <col min="5" max="5" width="11.8984375" bestFit="1" customWidth="1"/>
    <col min="7" max="7" width="13" bestFit="1" customWidth="1"/>
    <col min="8" max="8" width="13.69921875" bestFit="1" customWidth="1"/>
    <col min="10" max="10" width="13" bestFit="1" customWidth="1"/>
    <col min="11" max="11" width="12.296875" bestFit="1" customWidth="1"/>
  </cols>
  <sheetData>
    <row r="1" spans="1:26" x14ac:dyDescent="0.4">
      <c r="A1" s="13" t="s">
        <v>134</v>
      </c>
      <c r="B1" s="31">
        <v>45394</v>
      </c>
      <c r="D1" s="47" t="s">
        <v>149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153</v>
      </c>
      <c r="B3" s="16"/>
    </row>
    <row r="4" spans="1:26" ht="16.5" customHeight="1" x14ac:dyDescent="0.4">
      <c r="A4" s="34" t="s">
        <v>154</v>
      </c>
      <c r="B4" s="34"/>
      <c r="D4" s="34" t="s">
        <v>154</v>
      </c>
      <c r="E4" s="34"/>
      <c r="G4" s="34" t="s">
        <v>154</v>
      </c>
      <c r="H4" s="34"/>
      <c r="J4" s="34" t="s">
        <v>154</v>
      </c>
      <c r="K4" s="34"/>
      <c r="O4" s="45" t="s">
        <v>148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155</v>
      </c>
      <c r="B5" s="8" t="s">
        <v>7</v>
      </c>
      <c r="D5" s="8" t="s">
        <v>155</v>
      </c>
      <c r="E5" s="8" t="s">
        <v>12</v>
      </c>
      <c r="G5" s="8" t="s">
        <v>155</v>
      </c>
      <c r="H5" s="8" t="s">
        <v>9</v>
      </c>
      <c r="J5" s="8" t="s">
        <v>155</v>
      </c>
      <c r="K5" s="8" t="s">
        <v>8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156</v>
      </c>
      <c r="B6" s="8" t="s">
        <v>166</v>
      </c>
      <c r="D6" s="8" t="s">
        <v>156</v>
      </c>
      <c r="E6" s="8" t="s">
        <v>167</v>
      </c>
      <c r="G6" s="8" t="s">
        <v>156</v>
      </c>
      <c r="H6" s="8" t="s">
        <v>168</v>
      </c>
      <c r="J6" s="8" t="s">
        <v>156</v>
      </c>
      <c r="K6" s="8" t="s">
        <v>169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52.2" x14ac:dyDescent="0.4">
      <c r="A7" s="8" t="s">
        <v>157</v>
      </c>
      <c r="B7" s="36" t="s">
        <v>170</v>
      </c>
      <c r="D7" s="8" t="s">
        <v>157</v>
      </c>
      <c r="E7" s="36" t="s">
        <v>171</v>
      </c>
      <c r="G7" s="8" t="s">
        <v>158</v>
      </c>
      <c r="H7" s="36" t="s">
        <v>172</v>
      </c>
      <c r="J7" s="8" t="s">
        <v>158</v>
      </c>
      <c r="K7" s="36" t="s">
        <v>173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159</v>
      </c>
      <c r="B8" s="8" t="s">
        <v>160</v>
      </c>
      <c r="D8" s="8" t="s">
        <v>159</v>
      </c>
      <c r="E8" s="8" t="s">
        <v>161</v>
      </c>
      <c r="G8" s="8" t="s">
        <v>159</v>
      </c>
      <c r="H8" s="8" t="s">
        <v>162</v>
      </c>
      <c r="J8" s="8" t="s">
        <v>159</v>
      </c>
      <c r="K8" s="8" t="s">
        <v>163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164</v>
      </c>
      <c r="B9" s="8" t="s">
        <v>165</v>
      </c>
      <c r="D9" s="8" t="s">
        <v>164</v>
      </c>
      <c r="E9" s="8" t="s">
        <v>165</v>
      </c>
      <c r="G9" s="8" t="s">
        <v>164</v>
      </c>
      <c r="H9" s="8" t="s">
        <v>165</v>
      </c>
      <c r="J9" s="8" t="s">
        <v>164</v>
      </c>
      <c r="K9" s="8" t="s">
        <v>165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5"/>
      <c r="B16" s="26"/>
      <c r="D16" s="25"/>
      <c r="E16" s="26"/>
      <c r="G16" s="25"/>
      <c r="H16" s="26"/>
      <c r="J16" s="25"/>
      <c r="K16" s="26"/>
      <c r="O16" s="35"/>
      <c r="P16" s="35"/>
      <c r="Q16" s="35"/>
      <c r="R16" s="35"/>
      <c r="S16" s="35"/>
      <c r="T16" s="35"/>
      <c r="U16" s="35"/>
      <c r="V16" s="3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146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dataConsolidate/>
  <mergeCells count="2">
    <mergeCell ref="D1:K2"/>
    <mergeCell ref="O4:Z1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dataConsolidate/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Z41"/>
  <sheetViews>
    <sheetView zoomScaleNormal="100" workbookViewId="0">
      <selection activeCell="A12" sqref="A12"/>
    </sheetView>
  </sheetViews>
  <sheetFormatPr defaultColWidth="14.59765625" defaultRowHeight="17.399999999999999" x14ac:dyDescent="0.4"/>
  <cols>
    <col min="1" max="1" width="14.59765625" style="11"/>
    <col min="3" max="3" width="17.8984375" bestFit="1" customWidth="1"/>
    <col min="10" max="10" width="25.19921875" bestFit="1" customWidth="1"/>
    <col min="11" max="11" width="11.09765625" bestFit="1" customWidth="1"/>
    <col min="12" max="13" width="18" bestFit="1" customWidth="1"/>
    <col min="15" max="15" width="14.09765625" bestFit="1" customWidth="1"/>
    <col min="16" max="16" width="14.09765625" customWidth="1"/>
    <col min="17" max="17" width="11.09765625" bestFit="1" customWidth="1"/>
    <col min="18" max="18" width="21.3984375" bestFit="1" customWidth="1"/>
    <col min="19" max="19" width="20.59765625" bestFit="1" customWidth="1"/>
    <col min="20" max="20" width="14.19921875" bestFit="1" customWidth="1"/>
    <col min="21" max="21" width="14.19921875" customWidth="1"/>
    <col min="22" max="22" width="24.09765625" bestFit="1" customWidth="1"/>
    <col min="23" max="23" width="23.5" bestFit="1" customWidth="1"/>
  </cols>
  <sheetData>
    <row r="1" spans="1:26" x14ac:dyDescent="0.4">
      <c r="A1" s="1" t="s">
        <v>52</v>
      </c>
      <c r="B1" s="1" t="s">
        <v>53</v>
      </c>
      <c r="C1" s="1" t="s">
        <v>54</v>
      </c>
      <c r="D1" s="1" t="s">
        <v>112</v>
      </c>
      <c r="F1" s="3"/>
      <c r="H1" s="3"/>
    </row>
    <row r="2" spans="1:26" x14ac:dyDescent="0.4">
      <c r="A2" s="10">
        <v>45263</v>
      </c>
      <c r="B2" s="2" t="s">
        <v>56</v>
      </c>
      <c r="C2" s="5"/>
      <c r="D2" s="2" t="s">
        <v>113</v>
      </c>
      <c r="F2" s="3"/>
      <c r="H2" s="3"/>
      <c r="O2" s="50" t="s">
        <v>140</v>
      </c>
      <c r="P2" s="51"/>
      <c r="Q2" s="51"/>
      <c r="R2" s="51"/>
      <c r="S2" s="51"/>
      <c r="T2" s="51"/>
      <c r="U2" s="51"/>
      <c r="V2" s="51"/>
      <c r="W2" s="52"/>
    </row>
    <row r="3" spans="1:26" x14ac:dyDescent="0.4">
      <c r="A3" s="4"/>
      <c r="B3" s="3"/>
      <c r="C3" s="3"/>
      <c r="D3" s="3"/>
      <c r="E3" s="3"/>
      <c r="F3" s="3"/>
      <c r="H3" s="3"/>
      <c r="O3" s="53"/>
      <c r="P3" s="54"/>
      <c r="Q3" s="54"/>
      <c r="R3" s="54"/>
      <c r="S3" s="54"/>
      <c r="T3" s="54"/>
      <c r="U3" s="54"/>
      <c r="V3" s="54"/>
      <c r="W3" s="55"/>
    </row>
    <row r="4" spans="1:26" x14ac:dyDescent="0.4">
      <c r="A4" s="48" t="s">
        <v>57</v>
      </c>
      <c r="B4" s="1" t="s">
        <v>60</v>
      </c>
      <c r="C4" s="1" t="s">
        <v>61</v>
      </c>
      <c r="F4" s="3"/>
      <c r="H4" s="3"/>
      <c r="O4" s="53"/>
      <c r="P4" s="54"/>
      <c r="Q4" s="54"/>
      <c r="R4" s="54"/>
      <c r="S4" s="54"/>
      <c r="T4" s="54"/>
      <c r="U4" s="54"/>
      <c r="V4" s="54"/>
      <c r="W4" s="55"/>
    </row>
    <row r="5" spans="1:26" x14ac:dyDescent="0.4">
      <c r="A5" s="49"/>
      <c r="B5" s="5"/>
      <c r="C5" s="5"/>
      <c r="F5" s="3"/>
      <c r="H5" s="3"/>
      <c r="O5" s="53"/>
      <c r="P5" s="54"/>
      <c r="Q5" s="54"/>
      <c r="R5" s="54"/>
      <c r="S5" s="54"/>
      <c r="T5" s="54"/>
      <c r="U5" s="54"/>
      <c r="V5" s="54"/>
      <c r="W5" s="55"/>
    </row>
    <row r="6" spans="1:26" x14ac:dyDescent="0.4">
      <c r="O6" s="53"/>
      <c r="P6" s="54"/>
      <c r="Q6" s="54"/>
      <c r="R6" s="54"/>
      <c r="S6" s="54"/>
      <c r="T6" s="54"/>
      <c r="U6" s="54"/>
      <c r="V6" s="54"/>
      <c r="W6" s="55"/>
    </row>
    <row r="7" spans="1:26" x14ac:dyDescent="0.4">
      <c r="O7" s="56"/>
      <c r="P7" s="57"/>
      <c r="Q7" s="57"/>
      <c r="R7" s="57"/>
      <c r="S7" s="57"/>
      <c r="T7" s="57"/>
      <c r="U7" s="57"/>
      <c r="V7" s="57"/>
      <c r="W7" s="58"/>
    </row>
    <row r="8" spans="1:26" x14ac:dyDescent="0.4">
      <c r="A8" s="12" t="s">
        <v>63</v>
      </c>
      <c r="B8" s="13">
        <f>COUNTA(A10:A139)</f>
        <v>4</v>
      </c>
      <c r="K8" s="15"/>
      <c r="O8" s="15"/>
      <c r="P8" s="15"/>
      <c r="Q8" s="15"/>
      <c r="R8" s="15"/>
      <c r="S8" s="15"/>
      <c r="T8" s="15"/>
      <c r="U8" s="15"/>
      <c r="V8" s="15"/>
      <c r="W8" s="15"/>
      <c r="Y8" t="s">
        <v>81</v>
      </c>
    </row>
    <row r="9" spans="1:26" s="11" customFormat="1" x14ac:dyDescent="0.4">
      <c r="A9" s="14" t="s">
        <v>62</v>
      </c>
      <c r="B9" s="14" t="s">
        <v>64</v>
      </c>
      <c r="C9" s="14" t="s">
        <v>65</v>
      </c>
      <c r="D9" s="14" t="s">
        <v>66</v>
      </c>
      <c r="E9" s="14" t="s">
        <v>67</v>
      </c>
      <c r="F9" s="14" t="s">
        <v>75</v>
      </c>
      <c r="G9" s="14" t="s">
        <v>68</v>
      </c>
      <c r="H9" s="14" t="s">
        <v>69</v>
      </c>
      <c r="I9" s="14" t="s">
        <v>70</v>
      </c>
      <c r="J9" s="14" t="s">
        <v>114</v>
      </c>
      <c r="K9" s="14" t="s">
        <v>71</v>
      </c>
      <c r="L9" s="14" t="s">
        <v>117</v>
      </c>
      <c r="M9" s="14" t="s">
        <v>73</v>
      </c>
      <c r="N9" s="14" t="s">
        <v>72</v>
      </c>
      <c r="O9" s="14" t="s">
        <v>118</v>
      </c>
      <c r="P9" s="14" t="s">
        <v>120</v>
      </c>
      <c r="Q9" s="14" t="s">
        <v>121</v>
      </c>
      <c r="R9" s="14" t="s">
        <v>138</v>
      </c>
      <c r="S9" s="14" t="s">
        <v>124</v>
      </c>
      <c r="T9" s="14" t="s">
        <v>122</v>
      </c>
      <c r="U9" s="14" t="s">
        <v>123</v>
      </c>
      <c r="V9" s="14" t="s">
        <v>139</v>
      </c>
      <c r="W9" s="14" t="s">
        <v>125</v>
      </c>
      <c r="X9" s="14" t="s">
        <v>74</v>
      </c>
      <c r="Y9" s="14" t="s">
        <v>80</v>
      </c>
      <c r="Z9" s="17"/>
    </row>
    <row r="10" spans="1:26" x14ac:dyDescent="0.4">
      <c r="A10" s="12">
        <v>1</v>
      </c>
      <c r="B10" s="12">
        <v>20231218</v>
      </c>
      <c r="C10" s="13" t="s">
        <v>76</v>
      </c>
      <c r="D10" s="13">
        <v>6</v>
      </c>
      <c r="E10" s="13">
        <v>2</v>
      </c>
      <c r="F10" s="13">
        <v>1</v>
      </c>
      <c r="G10" s="13" t="s">
        <v>38</v>
      </c>
      <c r="H10" s="13" t="s">
        <v>77</v>
      </c>
      <c r="I10" s="13"/>
      <c r="J10" s="13" t="s">
        <v>115</v>
      </c>
      <c r="K10" s="13">
        <v>6.2</v>
      </c>
      <c r="L10" s="13"/>
      <c r="M10" s="13">
        <v>100</v>
      </c>
      <c r="N10" s="13">
        <v>50</v>
      </c>
      <c r="O10" s="13"/>
      <c r="P10" s="13"/>
      <c r="Q10" s="13"/>
      <c r="R10" s="13"/>
      <c r="S10" s="13"/>
      <c r="T10" s="13"/>
      <c r="U10" s="13"/>
      <c r="V10" s="13"/>
      <c r="W10" s="13"/>
      <c r="X10" s="13" t="s">
        <v>78</v>
      </c>
      <c r="Y10" s="13"/>
      <c r="Z10" s="15"/>
    </row>
    <row r="11" spans="1:26" x14ac:dyDescent="0.4">
      <c r="A11" s="12">
        <v>2</v>
      </c>
      <c r="B11" s="12">
        <v>20231218</v>
      </c>
      <c r="C11" s="13" t="s">
        <v>79</v>
      </c>
      <c r="D11" s="13">
        <v>6</v>
      </c>
      <c r="E11" s="13">
        <v>2</v>
      </c>
      <c r="F11" s="13">
        <v>1</v>
      </c>
      <c r="G11" s="13" t="s">
        <v>38</v>
      </c>
      <c r="H11" s="13" t="s">
        <v>40</v>
      </c>
      <c r="I11" s="13"/>
      <c r="J11" s="13" t="s">
        <v>116</v>
      </c>
      <c r="K11" s="13">
        <v>6.2</v>
      </c>
      <c r="L11" s="13">
        <v>6.2</v>
      </c>
      <c r="M11" s="13">
        <v>100</v>
      </c>
      <c r="N11" s="13">
        <v>50</v>
      </c>
      <c r="O11" s="13"/>
      <c r="P11" s="13"/>
      <c r="Q11" s="13"/>
      <c r="R11" s="13"/>
      <c r="S11" s="13"/>
      <c r="T11" s="13"/>
      <c r="U11" s="13"/>
      <c r="V11" s="13"/>
      <c r="W11" s="13"/>
      <c r="X11" s="13" t="s">
        <v>78</v>
      </c>
      <c r="Y11" s="13"/>
      <c r="Z11" s="15"/>
    </row>
    <row r="12" spans="1:26" x14ac:dyDescent="0.4">
      <c r="A12" s="12">
        <v>3</v>
      </c>
      <c r="B12" s="12">
        <v>20231218</v>
      </c>
      <c r="C12" s="13" t="s">
        <v>119</v>
      </c>
      <c r="D12" s="13">
        <v>12</v>
      </c>
      <c r="E12" s="13"/>
      <c r="F12" s="13"/>
      <c r="G12" s="13" t="s">
        <v>38</v>
      </c>
      <c r="H12" s="13"/>
      <c r="I12" s="13"/>
      <c r="J12" s="13"/>
      <c r="K12" s="13"/>
      <c r="L12" s="13"/>
      <c r="M12" s="13"/>
      <c r="N12" s="13"/>
      <c r="O12" s="29">
        <v>102</v>
      </c>
      <c r="P12" s="29">
        <v>100</v>
      </c>
      <c r="Q12" s="29">
        <v>100</v>
      </c>
      <c r="R12" s="29">
        <v>120</v>
      </c>
      <c r="S12" s="29">
        <v>2</v>
      </c>
      <c r="T12" s="13"/>
      <c r="U12" s="13"/>
      <c r="V12" s="13"/>
      <c r="W12" s="13"/>
      <c r="X12" s="13" t="s">
        <v>78</v>
      </c>
      <c r="Y12" s="13"/>
    </row>
    <row r="13" spans="1:26" x14ac:dyDescent="0.4">
      <c r="A13" s="12">
        <v>4</v>
      </c>
      <c r="B13" s="12">
        <v>20231218</v>
      </c>
      <c r="C13" s="13" t="s">
        <v>126</v>
      </c>
      <c r="D13" s="13">
        <v>12</v>
      </c>
      <c r="E13" s="13"/>
      <c r="F13" s="13"/>
      <c r="G13" s="13" t="s">
        <v>38</v>
      </c>
      <c r="H13" s="13"/>
      <c r="I13" s="13"/>
      <c r="J13" s="13"/>
      <c r="K13" s="13"/>
      <c r="L13" s="13"/>
      <c r="M13" s="13"/>
      <c r="N13" s="13"/>
      <c r="O13" s="13">
        <v>100</v>
      </c>
      <c r="P13" s="13">
        <v>100</v>
      </c>
      <c r="Q13" s="13">
        <v>34</v>
      </c>
      <c r="R13" s="13">
        <v>120</v>
      </c>
      <c r="S13" s="13">
        <v>0</v>
      </c>
      <c r="T13" s="13">
        <v>100</v>
      </c>
      <c r="U13" s="13">
        <v>34</v>
      </c>
      <c r="V13" s="13">
        <v>80</v>
      </c>
      <c r="W13" s="13">
        <v>0</v>
      </c>
      <c r="X13" s="13" t="s">
        <v>78</v>
      </c>
      <c r="Y13" s="13"/>
    </row>
    <row r="14" spans="1:26" x14ac:dyDescent="0.4">
      <c r="A14" s="12"/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6" x14ac:dyDescent="0.4">
      <c r="A15" s="1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x14ac:dyDescent="0.4">
      <c r="A16" s="12"/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4">
      <c r="A17" s="12"/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4">
      <c r="A18" s="12"/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4">
      <c r="A19" s="12"/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4">
      <c r="A20" s="12"/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4">
      <c r="A21" s="12"/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4">
      <c r="A22" s="12"/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4">
      <c r="A23" s="1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4">
      <c r="A24" s="12"/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4">
      <c r="A25" s="12"/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4">
      <c r="A26" s="12"/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4">
      <c r="A27" s="12"/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4">
      <c r="A28" s="12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4">
      <c r="A29" s="12"/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4">
      <c r="A30" s="12"/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4">
      <c r="A31" s="1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4">
      <c r="A32" s="12"/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4">
      <c r="A33" s="1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4">
      <c r="A34" s="12"/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4">
      <c r="A35" s="12"/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4">
      <c r="A36" s="12"/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1:25" x14ac:dyDescent="0.4">
      <c r="A37" s="12"/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4">
      <c r="A38" s="12"/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4">
      <c r="A39" s="1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1:25" x14ac:dyDescent="0.4">
      <c r="A40" s="12"/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4">
      <c r="A41" s="12"/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</sheetData>
  <mergeCells count="2">
    <mergeCell ref="A4:A5"/>
    <mergeCell ref="O2:W7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C10:C41" xr:uid="{93B5BE45-B841-4536-AFC9-EB47443AC772}">
      <formula1>"StepDown, Lizard, KnockOut, TwoWayKnockOut"</formula1>
    </dataValidation>
    <dataValidation type="list" allowBlank="1" showInputMessage="1" showErrorMessage="1" sqref="F10:F12 G14:G41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2024-04-24T02:22:10Z</dcterms:modified>
</cp:coreProperties>
</file>