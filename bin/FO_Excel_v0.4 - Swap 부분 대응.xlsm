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E49792B9-5995-4B92-BFDC-A01E9F478978}" xr6:coauthVersionLast="47" xr6:coauthVersionMax="47" xr10:uidLastSave="{00000000-0000-0000-0000-000000000000}"/>
  <bookViews>
    <workbookView xWindow="-30828" yWindow="-108" windowWidth="30936" windowHeight="16896" firstSheet="2" activeTab="6" xr2:uid="{00000000-000D-0000-FFFF-FFFF00000000}"/>
  </bookViews>
  <sheets>
    <sheet name="Market Data" sheetId="2" r:id="rId1"/>
    <sheet name="Vol" sheetId="3" r:id="rId2"/>
    <sheet name="Missing Data - Hist Vol, Corr" sheetId="6" r:id="rId3"/>
    <sheet name="Missing Data - Fx Forward" sheetId="7" r:id="rId4"/>
    <sheet name="Missing Data - D_Dividend(보정)" sheetId="8" r:id="rId5"/>
    <sheet name="OTC" sheetId="4" r:id="rId6"/>
    <sheet name="Quote" sheetId="5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7" l="1"/>
  <c r="D10" i="7"/>
  <c r="D9" i="7"/>
  <c r="A9" i="7"/>
  <c r="A11" i="7"/>
  <c r="A10" i="7"/>
  <c r="K5" i="7"/>
  <c r="H5" i="7"/>
  <c r="E5" i="7"/>
  <c r="B5" i="7"/>
  <c r="K6" i="8"/>
  <c r="K7" i="8" s="1"/>
  <c r="H6" i="8"/>
  <c r="H7" i="8" s="1"/>
  <c r="E6" i="8"/>
  <c r="E7" i="8" s="1"/>
  <c r="B7" i="8"/>
  <c r="B6" i="8"/>
  <c r="H2" i="4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29" i="2"/>
  <c r="U13" i="2"/>
  <c r="T12" i="2"/>
  <c r="U12" i="2"/>
  <c r="S11" i="2"/>
  <c r="T11" i="2"/>
  <c r="U11" i="2"/>
  <c r="R10" i="2"/>
  <c r="S10" i="2"/>
  <c r="T10" i="2"/>
  <c r="U10" i="2"/>
  <c r="Q9" i="2"/>
  <c r="R9" i="2"/>
  <c r="S9" i="2"/>
  <c r="T9" i="2"/>
  <c r="U9" i="2"/>
  <c r="Q8" i="2"/>
  <c r="R8" i="2"/>
  <c r="S8" i="2"/>
  <c r="T8" i="2"/>
  <c r="U8" i="2"/>
  <c r="P8" i="2"/>
  <c r="N9" i="2"/>
  <c r="N10" i="2"/>
  <c r="N11" i="2"/>
  <c r="N12" i="2"/>
  <c r="N13" i="2"/>
  <c r="N14" i="2"/>
  <c r="N8" i="2"/>
  <c r="B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C2" authorId="0" shapeId="0" xr:uid="{202EBF71-7204-48D5-97C3-22912113442F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 xr:uid="{14EB0E2B-48D2-47DF-8954-488DA430EDDA}">
      <text>
        <r>
          <rPr>
            <b/>
            <sz val="9"/>
            <color indexed="81"/>
            <rFont val="Tahoma"/>
            <family val="2"/>
          </rPr>
          <t>1 : Lower
2 : Low
3 : Normal
4 : High
5 : Highest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9F3BA402-8984-4E51-A87A-375E0912E35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1BC1E06D-EED1-4973-A65F-B68EE67322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D9" authorId="0" shapeId="0" xr:uid="{33D195E0-6BD8-492B-A6FE-9B25C2DF5E1D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E9" authorId="0" shapeId="0" xr:uid="{8484FF8D-EA82-4A31-9CBE-EFB53C4A141D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9" authorId="0" shapeId="0" xr:uid="{70B68280-B521-4CC3-BD9E-5A48DE478A34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K9" authorId="0" shapeId="0" xr:uid="{AA1B8991-EEFC-4B32-88B2-6CEBA55159CA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A5555DA3-F0C0-45C2-A5EC-C941EC547C7D}">
      <text>
        <r>
          <rPr>
            <sz val="9"/>
            <color indexed="81"/>
            <rFont val="돋움"/>
            <family val="3"/>
            <charset val="129"/>
          </rPr>
          <t>월지급쿠폰의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  <comment ref="M9" authorId="0" shapeId="0" xr:uid="{CC443D68-6BA9-4739-BC18-07B0AA44640C}">
      <text>
        <r>
          <rPr>
            <sz val="9"/>
            <color indexed="81"/>
            <rFont val="돋움"/>
            <family val="3"/>
            <charset val="129"/>
          </rPr>
          <t>월지급쿠폰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쿠폰이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월지급쿠폰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연</t>
        </r>
        <r>
          <rPr>
            <sz val="9"/>
            <color indexed="81"/>
            <rFont val="Tahoma"/>
            <family val="2"/>
          </rPr>
          <t>%)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N9" authorId="0" shapeId="0" xr:uid="{D109F80C-AD72-4539-A0C4-DF74AB49E75A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<sst xmlns="http://schemas.openxmlformats.org/spreadsheetml/2006/main" count="377" uniqueCount="175">
  <si>
    <t>TargetDate</t>
    <phoneticPr fontId="1" type="noConversion"/>
  </si>
  <si>
    <t>Scenario</t>
    <phoneticPr fontId="1" type="noConversion"/>
  </si>
  <si>
    <t>Equity</t>
    <phoneticPr fontId="1" type="noConversion"/>
  </si>
  <si>
    <t>Code</t>
    <phoneticPr fontId="1" type="noConversion"/>
  </si>
  <si>
    <t>ClosedPrice</t>
    <phoneticPr fontId="1" type="noConversion"/>
  </si>
  <si>
    <t>Correlation</t>
    <phoneticPr fontId="1" type="noConversion"/>
  </si>
  <si>
    <t>KOSPI2LG</t>
  </si>
  <si>
    <t>KOSPI200</t>
  </si>
  <si>
    <t>NKY</t>
  </si>
  <si>
    <t>HSCEI</t>
  </si>
  <si>
    <t>HSI</t>
  </si>
  <si>
    <t>SX5E</t>
  </si>
  <si>
    <t>SPX</t>
  </si>
  <si>
    <t>ρKOSPI2LG</t>
  </si>
  <si>
    <t>ρKOSPI200</t>
  </si>
  <si>
    <t>ρNKY</t>
  </si>
  <si>
    <t>ρHSCEI</t>
  </si>
  <si>
    <t>ρHSI</t>
  </si>
  <si>
    <t>ρSX5E</t>
  </si>
  <si>
    <t>ρSPX</t>
  </si>
  <si>
    <t>FX</t>
    <phoneticPr fontId="1" type="noConversion"/>
  </si>
  <si>
    <t>기준환율</t>
    <phoneticPr fontId="1" type="noConversion"/>
  </si>
  <si>
    <t>Mar환율</t>
    <phoneticPr fontId="1" type="noConversion"/>
  </si>
  <si>
    <t>FXKRWJPY</t>
    <phoneticPr fontId="1" type="noConversion"/>
  </si>
  <si>
    <t>FXKRWUSD</t>
    <phoneticPr fontId="1" type="noConversion"/>
  </si>
  <si>
    <t>FXKRWEUR</t>
    <phoneticPr fontId="1" type="noConversion"/>
  </si>
  <si>
    <t>FXKRWHKD</t>
    <phoneticPr fontId="1" type="noConversion"/>
  </si>
  <si>
    <t>Official Data</t>
    <phoneticPr fontId="1" type="noConversion"/>
  </si>
  <si>
    <t>Yield Curve</t>
    <phoneticPr fontId="1" type="noConversion"/>
  </si>
  <si>
    <t>IRSKRW</t>
    <phoneticPr fontId="1" type="noConversion"/>
  </si>
  <si>
    <t>Tenor</t>
    <phoneticPr fontId="1" type="noConversion"/>
  </si>
  <si>
    <t>Rate</t>
    <phoneticPr fontId="1" type="noConversion"/>
  </si>
  <si>
    <t>IRSUSD</t>
    <phoneticPr fontId="1" type="noConversion"/>
  </si>
  <si>
    <t>IRSJPY</t>
    <phoneticPr fontId="1" type="noConversion"/>
  </si>
  <si>
    <t>IRSHKD</t>
    <phoneticPr fontId="1" type="noConversion"/>
  </si>
  <si>
    <t>Scenario Data</t>
  </si>
  <si>
    <t>Scenario Data</t>
    <phoneticPr fontId="1" type="noConversion"/>
  </si>
  <si>
    <t>Dividend</t>
    <phoneticPr fontId="1" type="noConversion"/>
  </si>
  <si>
    <t>KOSPI200</t>
    <phoneticPr fontId="1" type="noConversion"/>
  </si>
  <si>
    <t>USD</t>
    <phoneticPr fontId="1" type="noConversion"/>
  </si>
  <si>
    <t>NKY</t>
    <phoneticPr fontId="1" type="noConversion"/>
  </si>
  <si>
    <t>HSCEI</t>
    <phoneticPr fontId="1" type="noConversion"/>
  </si>
  <si>
    <t>HSI</t>
    <phoneticPr fontId="1" type="noConversion"/>
  </si>
  <si>
    <t>Date</t>
    <phoneticPr fontId="1" type="noConversion"/>
  </si>
  <si>
    <t>Value</t>
    <phoneticPr fontId="1" type="noConversion"/>
  </si>
  <si>
    <t>Vol</t>
    <phoneticPr fontId="1" type="noConversion"/>
  </si>
  <si>
    <t>Moneyless</t>
    <phoneticPr fontId="1" type="noConversion"/>
  </si>
  <si>
    <t>KOSPI_LV</t>
    <phoneticPr fontId="1" type="noConversion"/>
  </si>
  <si>
    <t>NKY_LV</t>
    <phoneticPr fontId="1" type="noConversion"/>
  </si>
  <si>
    <t>HSI_LV</t>
    <phoneticPr fontId="1" type="noConversion"/>
  </si>
  <si>
    <t>HSCEI_LV</t>
    <phoneticPr fontId="1" type="noConversion"/>
  </si>
  <si>
    <t>Offficial Data</t>
    <phoneticPr fontId="1" type="noConversion"/>
  </si>
  <si>
    <t>Val Date</t>
    <phoneticPr fontId="1" type="noConversion"/>
  </si>
  <si>
    <t>Val Type</t>
    <phoneticPr fontId="1" type="noConversion"/>
  </si>
  <si>
    <t>Greek Level</t>
    <phoneticPr fontId="1" type="noConversion"/>
  </si>
  <si>
    <t>Priority</t>
    <phoneticPr fontId="1" type="noConversion"/>
  </si>
  <si>
    <t>P</t>
  </si>
  <si>
    <t>Monitoring</t>
    <phoneticPr fontId="1" type="noConversion"/>
  </si>
  <si>
    <t>Job ID</t>
    <phoneticPr fontId="1" type="noConversion"/>
  </si>
  <si>
    <t>Status</t>
    <phoneticPr fontId="1" type="noConversion"/>
  </si>
  <si>
    <t>Request</t>
    <phoneticPr fontId="1" type="noConversion"/>
  </si>
  <si>
    <t>End</t>
    <phoneticPr fontId="1" type="noConversion"/>
  </si>
  <si>
    <t>SEQ</t>
    <phoneticPr fontId="1" type="noConversion"/>
  </si>
  <si>
    <t>NumOfELS</t>
    <phoneticPr fontId="1" type="noConversion"/>
  </si>
  <si>
    <t xml:space="preserve">거래일 </t>
    <phoneticPr fontId="1" type="noConversion"/>
  </si>
  <si>
    <t>상품 상세 구조</t>
    <phoneticPr fontId="1" type="noConversion"/>
  </si>
  <si>
    <t>조기상환 주기</t>
    <phoneticPr fontId="1" type="noConversion"/>
  </si>
  <si>
    <t>결제일 OffSet</t>
    <phoneticPr fontId="1" type="noConversion"/>
  </si>
  <si>
    <t>기초자산 1</t>
    <phoneticPr fontId="1" type="noConversion"/>
  </si>
  <si>
    <t>기초자산 2</t>
  </si>
  <si>
    <t>기초자산 3</t>
  </si>
  <si>
    <t>쿠폰(연, %)</t>
    <phoneticPr fontId="1" type="noConversion"/>
  </si>
  <si>
    <t>KI Barrier(%)</t>
    <phoneticPr fontId="1" type="noConversion"/>
  </si>
  <si>
    <t>손실 참여율(%)</t>
    <phoneticPr fontId="1" type="noConversion"/>
  </si>
  <si>
    <t>계산 통화</t>
    <phoneticPr fontId="1" type="noConversion"/>
  </si>
  <si>
    <t>만기 평가 일수</t>
    <phoneticPr fontId="1" type="noConversion"/>
  </si>
  <si>
    <t>StepDown</t>
  </si>
  <si>
    <t>SPX</t>
    <phoneticPr fontId="1" type="noConversion"/>
  </si>
  <si>
    <t>KRW</t>
    <phoneticPr fontId="1" type="noConversion"/>
  </si>
  <si>
    <t>평가값</t>
    <phoneticPr fontId="1" type="noConversion"/>
  </si>
  <si>
    <t>Output</t>
    <phoneticPr fontId="1" type="noConversion"/>
  </si>
  <si>
    <t>Job Name</t>
    <phoneticPr fontId="1" type="noConversion"/>
  </si>
  <si>
    <t>HS_1</t>
    <phoneticPr fontId="1" type="noConversion"/>
  </si>
  <si>
    <t>Context ID</t>
    <phoneticPr fontId="1" type="noConversion"/>
  </si>
  <si>
    <t>Office</t>
    <phoneticPr fontId="1" type="noConversion"/>
  </si>
  <si>
    <t>FO</t>
    <phoneticPr fontId="1" type="noConversion"/>
  </si>
  <si>
    <t>IRSEUR</t>
    <phoneticPr fontId="1" type="noConversion"/>
  </si>
  <si>
    <t>N225</t>
    <phoneticPr fontId="1" type="noConversion"/>
  </si>
  <si>
    <t>EUROSTOXX</t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</si>
  <si>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scheme val="minor"/>
      </rPr>
      <t>KOSPI200</t>
    </r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</si>
  <si>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charset val="129"/>
      </rPr>
      <t>N225</t>
    </r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</si>
  <si>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charset val="129"/>
      </rPr>
      <t>HSI</t>
    </r>
    <phoneticPr fontId="1" type="noConversion"/>
  </si>
  <si>
    <r>
      <t>ρ</t>
    </r>
    <r>
      <rPr>
        <sz val="11"/>
        <color theme="1"/>
        <rFont val="Calibri"/>
        <family val="2"/>
      </rPr>
      <t>EUROSTOXX</t>
    </r>
    <phoneticPr fontId="1" type="noConversion"/>
  </si>
  <si>
    <t>TEST_1</t>
    <phoneticPr fontId="1" type="noConversion"/>
  </si>
  <si>
    <t>상품 코드</t>
    <phoneticPr fontId="1" type="noConversion"/>
  </si>
  <si>
    <t>ELS3588</t>
  </si>
  <si>
    <t>ELS3587</t>
  </si>
  <si>
    <t>ELS3443</t>
  </si>
  <si>
    <t>DLB00052</t>
  </si>
  <si>
    <t>ELS02969</t>
  </si>
  <si>
    <t>ELS2630</t>
  </si>
  <si>
    <t>ELS02556</t>
  </si>
  <si>
    <t>ELB00219</t>
  </si>
  <si>
    <t>ELB0202</t>
  </si>
  <si>
    <t>ELB00184</t>
  </si>
  <si>
    <t>ELB00173</t>
  </si>
  <si>
    <t>DLB00008</t>
  </si>
  <si>
    <t>DLB00007</t>
  </si>
  <si>
    <t>ELB0070</t>
  </si>
  <si>
    <t>DLB00004</t>
  </si>
  <si>
    <t>SimulationID</t>
    <phoneticPr fontId="1" type="noConversion"/>
  </si>
  <si>
    <t>Data Set ID</t>
    <phoneticPr fontId="1" type="noConversion"/>
  </si>
  <si>
    <t>official</t>
    <phoneticPr fontId="1" type="noConversion"/>
  </si>
  <si>
    <t>행사가(%) 베리어</t>
    <phoneticPr fontId="1" type="noConversion"/>
  </si>
  <si>
    <t>95-95-90-90-85-80</t>
    <phoneticPr fontId="1" type="noConversion"/>
  </si>
  <si>
    <t>95(80)-95(80)-90-90-85-80</t>
    <phoneticPr fontId="1" type="noConversion"/>
  </si>
  <si>
    <t>리자드 쿠폰(연, %)</t>
    <phoneticPr fontId="1" type="noConversion"/>
  </si>
  <si>
    <t>원금보장율(%)</t>
    <phoneticPr fontId="1" type="noConversion"/>
  </si>
  <si>
    <t>KnockOut</t>
  </si>
  <si>
    <t>Call 베리어(%)</t>
    <phoneticPr fontId="1" type="noConversion"/>
  </si>
  <si>
    <t>Call 참여율</t>
    <phoneticPr fontId="1" type="noConversion"/>
  </si>
  <si>
    <t>Put 베리어(%)</t>
    <phoneticPr fontId="1" type="noConversion"/>
  </si>
  <si>
    <t>Put 참여율</t>
    <phoneticPr fontId="1" type="noConversion"/>
  </si>
  <si>
    <t>더미 쿠폰(%, UpSide)</t>
    <phoneticPr fontId="1" type="noConversion"/>
  </si>
  <si>
    <t>더미 쿠폰(%, DownSide)</t>
    <phoneticPr fontId="1" type="noConversion"/>
  </si>
  <si>
    <t>TwoWayKnockOut</t>
  </si>
  <si>
    <t>기초자산 코드</t>
    <phoneticPr fontId="1" type="noConversion"/>
  </si>
  <si>
    <t>통화코드</t>
    <phoneticPr fontId="1" type="noConversion"/>
  </si>
  <si>
    <t>역사적 변동성</t>
    <phoneticPr fontId="1" type="noConversion"/>
  </si>
  <si>
    <t>상관계수</t>
    <phoneticPr fontId="1" type="noConversion"/>
  </si>
  <si>
    <t>기초자산 코드 1</t>
    <phoneticPr fontId="1" type="noConversion"/>
  </si>
  <si>
    <t>기초자산 코드 2</t>
    <phoneticPr fontId="1" type="noConversion"/>
  </si>
  <si>
    <t>상관계수 값</t>
    <phoneticPr fontId="1" type="noConversion"/>
  </si>
  <si>
    <t>기준일자</t>
    <phoneticPr fontId="1" type="noConversion"/>
  </si>
  <si>
    <t>DB 입력 설계</t>
    <phoneticPr fontId="1" type="noConversion"/>
  </si>
  <si>
    <t>역사적 변동성(%)</t>
    <phoneticPr fontId="1" type="noConversion"/>
  </si>
  <si>
    <t>KO베리어(%, UpSide)</t>
    <phoneticPr fontId="1" type="noConversion"/>
  </si>
  <si>
    <t>KO 베리어(%, DownSide)</t>
    <phoneticPr fontId="1" type="noConversion"/>
  </si>
  <si>
    <t>1) KnockOut 상품의 경우 Call베리어, Call참여율, KO Barrier(UpSide), 더미쿠폰(Upside, KO 베리어 히팅 시 쿠폰) 입력 필수</t>
    <phoneticPr fontId="1" type="noConversion"/>
  </si>
  <si>
    <t>FX Forward Curve</t>
    <phoneticPr fontId="1" type="noConversion"/>
  </si>
  <si>
    <t>기준통화</t>
    <phoneticPr fontId="1" type="noConversion"/>
  </si>
  <si>
    <t>상대통화</t>
    <phoneticPr fontId="1" type="noConversion"/>
  </si>
  <si>
    <t>데이터 ID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</si>
  <si>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1-기준통화</t>
    </r>
    <r>
      <rPr>
        <sz val="11"/>
        <color theme="1"/>
        <rFont val="맑은 고딕"/>
        <family val="2"/>
        <scheme val="minor"/>
      </rPr>
      <t xml:space="preserve">에 대한 </t>
    </r>
    <r>
      <rPr>
        <b/>
        <sz val="11"/>
        <color theme="1"/>
        <rFont val="맑은 고딕"/>
        <family val="3"/>
        <charset val="129"/>
        <scheme val="minor"/>
      </rPr>
      <t>상대통화</t>
    </r>
    <r>
      <rPr>
        <sz val="11"/>
        <color theme="1"/>
        <rFont val="맑은 고딕"/>
        <family val="2"/>
        <scheme val="minor"/>
      </rPr>
      <t>의 선도 환율 커브</t>
    </r>
    <phoneticPr fontId="1" type="noConversion"/>
  </si>
  <si>
    <t xml:space="preserve"> </t>
    <phoneticPr fontId="1" type="noConversion"/>
  </si>
  <si>
    <t>1. 마스터 입력
  1) OTC_ERRT_CURV_MSTR 에 다음과 같이 컬럼에 입력
      - DATA_ID : {데이터 ID}
      - DATA_NM : {상대통화}-{기준통화} FX Forward
      - ERRT_CURV_TP : FWDC
      - CRNC_CODE : 상대통화
      - RELT_CRNC_CODE : 기준통화 
      - CRNC_UNIT_AMT : 1 
1. 커브 데이터 입력
   1) OTC_ERRT_CURV_DATA_PRTC 에 다음과 같이 컬럼에 입력
      - BASE_DT : 기준일자
      - DATA_SET_ID : official 
      - DATA_ID : {데이터 ID}
      - EXPR_VAL : {Tenor} 
      - ERRT : {value}
      - RISK_FCTR_CODE : {DATA_ID}_{EXPR_VAL * 360}
      - OCR_DT : 기준일자</t>
    <phoneticPr fontId="1" type="noConversion"/>
  </si>
  <si>
    <t>Discrete Divdend</t>
    <phoneticPr fontId="1" type="noConversion"/>
  </si>
  <si>
    <t>통화</t>
    <phoneticPr fontId="1" type="noConversion"/>
  </si>
  <si>
    <t>1) 사전에 보정된 이산 배당 데이터에 대한 마스터 정보 입력 필요(OTC_DVID_MSTR)
-DATA_ID : {기초자산 코드}_D_CALB
-DATA_NM : {기초자산 이름} 보정 이산배당흐름
-DVID_TP : 2
-CRNC_CODE : 기초자산 통화코드
2)기준일자에 해당하는 배당 데이터 입력 테이블 : OTC_DIRT_DVID_FLOW_DATA_PRTC</t>
    <phoneticPr fontId="1" type="noConversion"/>
  </si>
  <si>
    <t>DVID_DT</t>
    <phoneticPr fontId="1" type="noConversion"/>
  </si>
  <si>
    <t>AMOUNT</t>
    <phoneticPr fontId="1" type="noConversion"/>
  </si>
  <si>
    <t>Value는 DVID_DT에 지급될 예상 배당금</t>
    <phoneticPr fontId="1" type="noConversion"/>
  </si>
  <si>
    <t>1. 역사적 상관계수 입력
  1) OTC_VLTL_CURV_DATA_PRTC 에 다음과 같이 컬럼에 입력
      - BASE_DT : 기준일자
      - DATA_SET_ID : official 
      - DATA_ID : {기초자산 코드}_VOL_250 
      - EXPR_VAL : 1
      - VLTL_RT : 역사적변동성(%기준으로 입력 X, 32% 이면 0.32로 DB에 저장)
      - RISK_FCTR_CODE : {기초자산 코드}_VOL_250 
      - ORC_DT : 기준일자
2. 상관계수 입력
   1) OTC_CRLT_CFCN_DATA_PRTC 에 다음과 같이 컬럼에 입력
      - BASE_DT : 기준일자
      - DATA_SET_ID : official 
      - DATA_ID : {기초자산 코드1}:{기초자산 코드2} 
      - CRLT_CFCN_MATX_ID : CORR
      - TH01_DATA_ID : 기초자산 코드 1
      - TH02_DATA_ID : 기초자산 코드 2
      - CRLT_CFCN : 상관계수 값
      - ORC_DT : 기준일자</t>
    <phoneticPr fontId="1" type="noConversion"/>
  </si>
  <si>
    <t>HKD</t>
    <phoneticPr fontId="1" type="noConversion"/>
  </si>
  <si>
    <t>데이터 이름</t>
    <phoneticPr fontId="1" type="noConversion"/>
  </si>
  <si>
    <t>JPY</t>
    <phoneticPr fontId="1" type="noConversion"/>
  </si>
  <si>
    <t>EUR</t>
    <phoneticPr fontId="1" type="noConversion"/>
  </si>
  <si>
    <t>월지급 베리어(%)</t>
    <phoneticPr fontId="1" type="noConversion"/>
  </si>
  <si>
    <t>CNTR_CODE</t>
    <phoneticPr fontId="1" type="noConversion"/>
  </si>
  <si>
    <t>Swap기초자산</t>
    <phoneticPr fontId="1" type="noConversion"/>
  </si>
  <si>
    <t>StepDown(Swap)</t>
  </si>
  <si>
    <t>CD91</t>
    <phoneticPr fontId="1" type="noConversion"/>
  </si>
  <si>
    <t>Swap 쿠폰유형</t>
    <phoneticPr fontId="1" type="noConversion"/>
  </si>
  <si>
    <t>Floating</t>
  </si>
  <si>
    <t>일수 계산 유형</t>
    <phoneticPr fontId="1" type="noConversion"/>
  </si>
  <si>
    <t>ACT/365</t>
  </si>
  <si>
    <t>Swap이자지급주기(월)</t>
    <phoneticPr fontId="1" type="noConversion"/>
  </si>
  <si>
    <t>Swap Spread
(또는 고정금리, %)</t>
    <phoneticPr fontId="1" type="noConversion"/>
  </si>
  <si>
    <t>Lizard(Swap)</t>
  </si>
  <si>
    <t>95-95-90-90-85-80</t>
  </si>
  <si>
    <t>MonthlyCoupon(Swap)</t>
  </si>
  <si>
    <t>Floating</t>
    <phoneticPr fontId="1" type="noConversion"/>
  </si>
  <si>
    <r>
      <t xml:space="preserve">StepDown, Lizard, MonthlyCoupon의 Swap부분 입력 방법
기존에 StepDown, Lizard, MonthlyCoupon 입력 하는 부분에서 LEG_NO = 1(기존에는 다 0으로 하라고 했었음)로 매핑
1) OTC_LEG_MSTR(기존 LEG_NO = 0이었던 PAY_RECV_TP = R 로 매핑)
LEG_NO = 2
PAY_RECV_TP = P
2) OTC_CNTR_UNAS_PRTC
UNAS_ID = 'CD91' -&gt; OTC_UNAS_MSTR의 UNAS_ID로 매핑해야됨 CD91는 STND_CODE 에 매핑되어 있음
LEG_NO = '2'
SEQ = '1'
3) OTC_INT_STRC_MSTR
LEG_NO = '2'
INT_STRC_GDS_NO = '1'
INT_TYPE_TP = (IF Swap쿠폰유형=Floating THEN 'FLO', ELSE IF Swap쿠폰유형 = Fixed THEN 'FIX')
CPN_CYCL__TP = '3'(Swap이자지급주기)
DYS_CALC_FRM_TP = 'A365' 일수 계산 유형(ACT/365=A365, ACT/360=A360, 30/360=3360, 30E/360=E360, 30E/360_ISDA, ACT/ACT=AACT, unadjust=ACTD)
FIXD_INT = (IF Swap쿠폰유형=Floating THEN '0', ELSE IF Swap쿠폰유형 = Fixed THEN Swap Spread/100)
SPRD = (IF Swap쿠폰유형=Floating THEN Swap Spread/100, ELSE IF Swap쿠폰유형 = Fixed THEN '0')
4) OTC_INT_STRC_CPN_SCHD_PRTC
LEG_NO = '2'
INT_STRC_GDS_NO = '1'
INT_DTRM_DT = 거래일 + 이자지급주기(월)만큼 증가 시켜서 입력(FIXED이면 입력 안함)
STRT_DT = 거래일 + 이자지급주기(월)만큼 증가 시켜서 입력
END_DT = STRT_DT + 이자지급주기(월)만큼 증가 시켜서 입력
SETL_DT = END_DT + 결제일offSet(일) 만큼 증가 시켜 입력(맨 마지막 지급일자는 ELS만기상환 일자와 동일 해야함, 만약 END_DT보다 이전 시점이면 END_DT값을 SETL_DT와 동일하게 맞춰준다.)
참조하는 상품은 </t>
    </r>
    <r>
      <rPr>
        <b/>
        <sz val="11"/>
        <color theme="1"/>
        <rFont val="맑은 고딕"/>
        <family val="3"/>
        <charset val="129"/>
        <scheme val="minor"/>
      </rPr>
      <t>ELSM0561B</t>
    </r>
    <r>
      <rPr>
        <sz val="11"/>
        <color theme="1"/>
        <rFont val="맑은 고딕"/>
        <family val="2"/>
        <scheme val="minor"/>
      </rPr>
      <t xml:space="preserve"> 로 UROSYS에서 찾아보면 됨</t>
    </r>
    <phoneticPr fontId="1" type="noConversion"/>
  </si>
  <si>
    <t>Lizard</t>
  </si>
  <si>
    <t>Fixed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</si>
</sst>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맑은 고딕"/>
      <family val="2"/>
      <scheme val="minor"/>
    </font>
    <font>
      <sz val="11"/>
      <color theme="1"/>
      <name val="맑은 고딕"/>
      <family val="2"/>
      <charset val="129"/>
    </font>
    <font>
      <sz val="11"/>
      <color theme="1"/>
      <name val="Calibri"/>
      <family val="2"/>
      <charset val="161"/>
    </font>
    <font>
      <sz val="11"/>
      <color theme="1"/>
      <name val="Calibri"/>
      <family val="2"/>
    </font>
    <font>
      <sz val="11"/>
      <color theme="1"/>
      <name val="맑은 고딕"/>
      <family val="2"/>
      <charset val="161"/>
      <scheme val="minor"/>
    </font>
    <font>
      <sz val="11"/>
      <color theme="1"/>
      <name val="맑은 고딕"/>
      <family val="2"/>
      <charset val="161"/>
    </font>
    <font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8" fillId="0" borderId="0" xfId="0" applyFont="1"/>
    <xf numFmtId="0" fontId="8" fillId="0" borderId="0" xfId="0" applyFont="1" applyAlignment="1">
      <alignment vertical="center"/>
    </xf>
    <xf numFmtId="0" fontId="10" fillId="3" borderId="1" xfId="0" applyFont="1" applyFill="1" applyBorder="1" applyAlignment="1">
      <alignment vertical="center"/>
    </xf>
    <xf numFmtId="0" fontId="12" fillId="3" borderId="1" xfId="0" applyFont="1" applyFill="1" applyBorder="1" applyAlignment="1">
      <alignment vertical="center"/>
    </xf>
    <xf numFmtId="0" fontId="13" fillId="3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4" fontId="0" fillId="0" borderId="1" xfId="0" applyNumberFormat="1" applyBorder="1"/>
    <xf numFmtId="14" fontId="0" fillId="0" borderId="0" xfId="0" applyNumberFormat="1"/>
    <xf numFmtId="0" fontId="2" fillId="0" borderId="0" xfId="0" applyFont="1"/>
    <xf numFmtId="0" fontId="2" fillId="3" borderId="1" xfId="0" applyFont="1" applyFill="1" applyBorder="1" applyAlignment="1">
      <alignment vertical="center"/>
    </xf>
    <xf numFmtId="0" fontId="0" fillId="0" borderId="0" xfId="0" applyAlignment="1">
      <alignment vertical="top" wrapText="1"/>
    </xf>
    <xf numFmtId="0" fontId="0" fillId="3" borderId="1" xfId="0" applyFill="1" applyBorder="1" applyAlignment="1">
      <alignment vertical="center" wrapText="1"/>
    </xf>
    <xf numFmtId="0" fontId="2" fillId="0" borderId="0" xfId="0" applyFont="1" applyAlignment="1">
      <alignment horizontal="left" vertical="top"/>
    </xf>
    <xf numFmtId="0" fontId="14" fillId="0" borderId="0" xfId="0" applyFont="1" applyAlignment="1">
      <alignment vertical="top" wrapTex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4" fillId="0" borderId="0" xfId="0" applyFont="1" applyAlignment="1">
      <alignment horizontal="left" vertical="top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/>
    </xf>
    <xf numFmtId="0" fontId="2" fillId="0" borderId="15" xfId="0" applyFont="1" applyBorder="1" applyAlignment="1">
      <alignment horizontal="left" vertical="top"/>
    </xf>
    <xf numFmtId="0" fontId="2" fillId="0" borderId="16" xfId="0" applyFont="1" applyBorder="1" applyAlignment="1">
      <alignment horizontal="left" vertical="top"/>
    </xf>
    <xf numFmtId="0" fontId="2" fillId="0" borderId="17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0" borderId="18" xfId="0" applyFont="1" applyBorder="1" applyAlignment="1">
      <alignment horizontal="left" vertical="top"/>
    </xf>
    <xf numFmtId="0" fontId="2" fillId="0" borderId="19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20" xfId="0" applyFont="1" applyBorder="1" applyAlignment="1">
      <alignment horizontal="left" vertical="top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F74D1F6A-5AE9-B47C-7335-88A948F0435F}"/>
            </a:ext>
          </a:extLst>
        </xdr:cNvPr>
        <xdr:cNvSpPr/>
      </xdr:nvSpPr>
      <xdr:spPr>
        <a:xfrm>
          <a:off x="2238375" y="38100"/>
          <a:ext cx="1323975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28FE3E7-33DD-4747-8CD7-A10B10BE5ABB}"/>
            </a:ext>
          </a:extLst>
        </xdr:cNvPr>
        <xdr:cNvSpPr/>
      </xdr:nvSpPr>
      <xdr:spPr>
        <a:xfrm>
          <a:off x="9439275" y="28575"/>
          <a:ext cx="1485900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90696</xdr:colOff>
      <xdr:row>0</xdr:row>
      <xdr:rowOff>28574</xdr:rowOff>
    </xdr:from>
    <xdr:to>
      <xdr:col>9</xdr:col>
      <xdr:colOff>728872</xdr:colOff>
      <xdr:row>1</xdr:row>
      <xdr:rowOff>180974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8597A17-02E9-4FC6-AA55-B321B0B3D715}"/>
            </a:ext>
          </a:extLst>
        </xdr:cNvPr>
        <xdr:cNvSpPr/>
      </xdr:nvSpPr>
      <xdr:spPr>
        <a:xfrm>
          <a:off x="6849305" y="28574"/>
          <a:ext cx="1483002" cy="367748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49282</xdr:colOff>
      <xdr:row>0</xdr:row>
      <xdr:rowOff>28575</xdr:rowOff>
    </xdr:from>
    <xdr:to>
      <xdr:col>5</xdr:col>
      <xdr:colOff>687456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89F0AE27-646F-4BE7-BE4D-353289D8F775}"/>
            </a:ext>
          </a:extLst>
        </xdr:cNvPr>
        <xdr:cNvSpPr/>
      </xdr:nvSpPr>
      <xdr:spPr>
        <a:xfrm>
          <a:off x="4754632" y="28575"/>
          <a:ext cx="1752599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8A099-67D6-40E9-BBA8-6DB75A259E47}">
  <sheetPr codeName="Sheet1"/>
  <dimension ref="A1:V130"/>
  <sheetViews>
    <sheetView topLeftCell="A13" workbookViewId="0">
      <selection activeCell="K27" sqref="K27"/>
    </sheetView>
  </sheetViews>
  <sheetFormatPr defaultColWidth="11.09765625" defaultRowHeight="17.399999999999999" x14ac:dyDescent="0.4"/>
  <cols>
    <col min="1" max="1" width="12.5" style="3" bestFit="1" customWidth="1"/>
    <col min="2" max="10" width="11.09765625" style="3"/>
    <col min="11" max="12" width="5.59765625" style="3" customWidth="1"/>
    <col min="13" max="14" width="11.09765625" style="3"/>
    <col min="15" max="15" width="12.69921875" style="3" bestFit="1" customWidth="1"/>
    <col min="16" max="16384" width="11.09765625" style="3"/>
  </cols>
  <sheetData>
    <row r="1" spans="1:21" x14ac:dyDescent="0.4">
      <c r="A1" s="1" t="s">
        <v>0</v>
      </c>
      <c r="O1" s="1" t="s">
        <v>1</v>
      </c>
    </row>
    <row r="2" spans="1:21" x14ac:dyDescent="0.4">
      <c r="A2" s="10">
        <v>44572</v>
      </c>
      <c r="O2" s="2" t="s">
        <v>82</v>
      </c>
    </row>
    <row r="4" spans="1:21" x14ac:dyDescent="0.4">
      <c r="A4" s="6" t="s">
        <v>2</v>
      </c>
      <c r="B4" s="15"/>
      <c r="F4" s="15"/>
      <c r="M4" s="6" t="s">
        <v>2</v>
      </c>
      <c r="N4" s="15"/>
      <c r="T4" s="15"/>
    </row>
    <row r="5" spans="1:21" x14ac:dyDescent="0.4">
      <c r="A5" s="40" t="s">
        <v>27</v>
      </c>
      <c r="B5" s="40"/>
      <c r="C5" s="40"/>
      <c r="D5" s="40"/>
      <c r="E5" s="40"/>
      <c r="F5" s="40"/>
      <c r="G5" s="40"/>
      <c r="H5" s="40"/>
      <c r="I5" s="40"/>
      <c r="M5" s="40" t="s">
        <v>36</v>
      </c>
      <c r="N5" s="40"/>
      <c r="O5" s="40"/>
      <c r="P5" s="40"/>
      <c r="Q5" s="40"/>
      <c r="R5" s="40"/>
      <c r="S5" s="40"/>
      <c r="T5" s="40"/>
      <c r="U5" s="40"/>
    </row>
    <row r="6" spans="1:21" x14ac:dyDescent="0.4">
      <c r="A6" s="41" t="s">
        <v>3</v>
      </c>
      <c r="B6" s="41" t="s">
        <v>4</v>
      </c>
      <c r="C6" s="43" t="s">
        <v>5</v>
      </c>
      <c r="D6" s="43"/>
      <c r="E6" s="43"/>
      <c r="F6" s="43"/>
      <c r="G6" s="43"/>
      <c r="H6" s="43"/>
      <c r="I6" s="43"/>
      <c r="M6" s="41" t="s">
        <v>3</v>
      </c>
      <c r="N6" s="41" t="s">
        <v>4</v>
      </c>
      <c r="O6" s="43" t="s">
        <v>5</v>
      </c>
      <c r="P6" s="43"/>
      <c r="Q6" s="43"/>
      <c r="R6" s="43"/>
      <c r="S6" s="43"/>
      <c r="T6" s="43"/>
      <c r="U6" s="43"/>
    </row>
    <row r="7" spans="1:21" x14ac:dyDescent="0.4">
      <c r="A7" s="42"/>
      <c r="B7" s="42"/>
      <c r="C7" s="8" t="s">
        <v>13</v>
      </c>
      <c r="D7" s="17" t="s">
        <v>89</v>
      </c>
      <c r="E7" s="18" t="s">
        <v>90</v>
      </c>
      <c r="F7" s="8" t="s">
        <v>16</v>
      </c>
      <c r="G7" s="18" t="s">
        <v>91</v>
      </c>
      <c r="H7" s="16" t="s">
        <v>92</v>
      </c>
      <c r="I7" s="8" t="s">
        <v>19</v>
      </c>
      <c r="M7" s="42"/>
      <c r="N7" s="42"/>
      <c r="O7" s="8" t="s">
        <v>13</v>
      </c>
      <c r="P7" s="8" t="s">
        <v>14</v>
      </c>
      <c r="Q7" s="8" t="s">
        <v>15</v>
      </c>
      <c r="R7" s="8" t="s">
        <v>16</v>
      </c>
      <c r="S7" s="8" t="s">
        <v>17</v>
      </c>
      <c r="T7" s="8" t="s">
        <v>18</v>
      </c>
      <c r="U7" s="8" t="s">
        <v>19</v>
      </c>
    </row>
    <row r="8" spans="1:21" x14ac:dyDescent="0.4">
      <c r="A8" s="5" t="s">
        <v>6</v>
      </c>
      <c r="B8" s="5"/>
      <c r="C8" s="5">
        <v>1</v>
      </c>
      <c r="D8" s="5"/>
      <c r="E8" s="5"/>
      <c r="F8" s="5"/>
      <c r="G8" s="5"/>
      <c r="H8" s="5"/>
      <c r="I8" s="5"/>
      <c r="M8" s="5" t="s">
        <v>6</v>
      </c>
      <c r="N8" s="5">
        <f>B8+0.001</f>
        <v>1E-3</v>
      </c>
      <c r="O8" s="5"/>
      <c r="P8" s="5">
        <f>D8+0.001</f>
        <v>1E-3</v>
      </c>
      <c r="Q8" s="5">
        <f t="shared" ref="Q8:U8" si="0">E8+0.001</f>
        <v>1E-3</v>
      </c>
      <c r="R8" s="5">
        <f t="shared" si="0"/>
        <v>1E-3</v>
      </c>
      <c r="S8" s="5">
        <f t="shared" si="0"/>
        <v>1E-3</v>
      </c>
      <c r="T8" s="5">
        <f t="shared" si="0"/>
        <v>1E-3</v>
      </c>
      <c r="U8" s="5">
        <f t="shared" si="0"/>
        <v>1E-3</v>
      </c>
    </row>
    <row r="9" spans="1:21" x14ac:dyDescent="0.4">
      <c r="A9" s="5" t="s">
        <v>7</v>
      </c>
      <c r="B9" s="5"/>
      <c r="C9" s="5"/>
      <c r="D9" s="5">
        <v>1</v>
      </c>
      <c r="E9" s="5"/>
      <c r="F9" s="5"/>
      <c r="G9" s="5"/>
      <c r="H9" s="5"/>
      <c r="I9" s="5"/>
      <c r="M9" s="5" t="s">
        <v>7</v>
      </c>
      <c r="N9" s="5">
        <f t="shared" ref="N9:N14" si="1">B9+0.001</f>
        <v>1E-3</v>
      </c>
      <c r="O9" s="5"/>
      <c r="P9" s="5"/>
      <c r="Q9" s="5">
        <f t="shared" ref="Q9" si="2">E9+0.001</f>
        <v>1E-3</v>
      </c>
      <c r="R9" s="5">
        <f t="shared" ref="R9" si="3">F9+0.001</f>
        <v>1E-3</v>
      </c>
      <c r="S9" s="5">
        <f t="shared" ref="S9" si="4">G9+0.001</f>
        <v>1E-3</v>
      </c>
      <c r="T9" s="5">
        <f t="shared" ref="T9" si="5">H9+0.001</f>
        <v>1E-3</v>
      </c>
      <c r="U9" s="5">
        <f t="shared" ref="U9" si="6">I9+0.001</f>
        <v>1E-3</v>
      </c>
    </row>
    <row r="10" spans="1:21" x14ac:dyDescent="0.4">
      <c r="A10" s="5" t="s">
        <v>87</v>
      </c>
      <c r="B10" s="5"/>
      <c r="C10" s="5"/>
      <c r="D10" s="5"/>
      <c r="E10" s="5">
        <v>1</v>
      </c>
      <c r="F10" s="5"/>
      <c r="G10" s="5"/>
      <c r="H10" s="5"/>
      <c r="I10" s="5"/>
      <c r="M10" s="5" t="s">
        <v>8</v>
      </c>
      <c r="N10" s="5">
        <f t="shared" si="1"/>
        <v>1E-3</v>
      </c>
      <c r="O10" s="5"/>
      <c r="P10" s="5"/>
      <c r="Q10" s="5"/>
      <c r="R10" s="5">
        <f t="shared" ref="R10" si="7">F10+0.001</f>
        <v>1E-3</v>
      </c>
      <c r="S10" s="5">
        <f t="shared" ref="S10" si="8">G10+0.001</f>
        <v>1E-3</v>
      </c>
      <c r="T10" s="5">
        <f t="shared" ref="T10" si="9">H10+0.001</f>
        <v>1E-3</v>
      </c>
      <c r="U10" s="5">
        <f t="shared" ref="U10" si="10">I10+0.001</f>
        <v>1E-3</v>
      </c>
    </row>
    <row r="11" spans="1:21" x14ac:dyDescent="0.4">
      <c r="A11" s="5" t="s">
        <v>9</v>
      </c>
      <c r="B11" s="5"/>
      <c r="C11" s="5"/>
      <c r="D11" s="5"/>
      <c r="E11" s="5"/>
      <c r="F11" s="5">
        <v>1</v>
      </c>
      <c r="G11" s="5"/>
      <c r="H11" s="5"/>
      <c r="I11" s="5"/>
      <c r="M11" s="5" t="s">
        <v>9</v>
      </c>
      <c r="N11" s="5">
        <f t="shared" si="1"/>
        <v>1E-3</v>
      </c>
      <c r="O11" s="5"/>
      <c r="P11" s="5"/>
      <c r="Q11" s="5"/>
      <c r="R11" s="5"/>
      <c r="S11" s="5">
        <f t="shared" ref="S11" si="11">G11+0.001</f>
        <v>1E-3</v>
      </c>
      <c r="T11" s="5">
        <f t="shared" ref="T11" si="12">H11+0.001</f>
        <v>1E-3</v>
      </c>
      <c r="U11" s="5">
        <f t="shared" ref="U11" si="13">I11+0.001</f>
        <v>1E-3</v>
      </c>
    </row>
    <row r="12" spans="1:21" x14ac:dyDescent="0.4">
      <c r="A12" s="5" t="s">
        <v>10</v>
      </c>
      <c r="B12" s="5"/>
      <c r="C12" s="5"/>
      <c r="D12" s="5"/>
      <c r="E12" s="5"/>
      <c r="F12" s="5"/>
      <c r="G12" s="5">
        <v>1</v>
      </c>
      <c r="H12" s="5"/>
      <c r="I12" s="5"/>
      <c r="M12" s="5" t="s">
        <v>10</v>
      </c>
      <c r="N12" s="5">
        <f t="shared" si="1"/>
        <v>1E-3</v>
      </c>
      <c r="O12" s="5"/>
      <c r="P12" s="5"/>
      <c r="Q12" s="5"/>
      <c r="R12" s="5"/>
      <c r="S12" s="5"/>
      <c r="T12" s="5">
        <f t="shared" ref="T12" si="14">H12+0.001</f>
        <v>1E-3</v>
      </c>
      <c r="U12" s="5">
        <f t="shared" ref="U12:U13" si="15">I12+0.001</f>
        <v>1E-3</v>
      </c>
    </row>
    <row r="13" spans="1:21" x14ac:dyDescent="0.4">
      <c r="A13" s="5" t="s">
        <v>88</v>
      </c>
      <c r="B13" s="5"/>
      <c r="C13" s="5"/>
      <c r="D13" s="5"/>
      <c r="E13" s="5"/>
      <c r="F13" s="5"/>
      <c r="G13" s="5"/>
      <c r="H13" s="5">
        <v>1</v>
      </c>
      <c r="I13" s="5"/>
      <c r="M13" s="5" t="s">
        <v>11</v>
      </c>
      <c r="N13" s="5">
        <f t="shared" si="1"/>
        <v>1E-3</v>
      </c>
      <c r="O13" s="5"/>
      <c r="P13" s="5"/>
      <c r="Q13" s="5"/>
      <c r="R13" s="5"/>
      <c r="S13" s="5"/>
      <c r="T13" s="5"/>
      <c r="U13" s="5">
        <f t="shared" si="15"/>
        <v>1E-3</v>
      </c>
    </row>
    <row r="14" spans="1:21" x14ac:dyDescent="0.4">
      <c r="A14" s="5" t="s">
        <v>12</v>
      </c>
      <c r="B14" s="5"/>
      <c r="C14" s="5"/>
      <c r="D14" s="5"/>
      <c r="E14" s="5"/>
      <c r="F14" s="5"/>
      <c r="G14" s="5"/>
      <c r="H14" s="5"/>
      <c r="I14" s="5">
        <v>1</v>
      </c>
      <c r="M14" s="5" t="s">
        <v>12</v>
      </c>
      <c r="N14" s="5">
        <f t="shared" si="1"/>
        <v>1E-3</v>
      </c>
      <c r="O14" s="5"/>
      <c r="P14" s="5"/>
      <c r="Q14" s="5"/>
      <c r="R14" s="5"/>
      <c r="S14" s="5"/>
      <c r="T14" s="5"/>
      <c r="U14" s="5"/>
    </row>
    <row r="16" spans="1:21" x14ac:dyDescent="0.4">
      <c r="A16" s="6" t="s">
        <v>20</v>
      </c>
      <c r="B16" s="15"/>
      <c r="F16" s="15"/>
      <c r="M16" s="6" t="s">
        <v>20</v>
      </c>
      <c r="N16" s="15"/>
      <c r="T16" s="15"/>
    </row>
    <row r="17" spans="1:22" x14ac:dyDescent="0.4">
      <c r="A17" s="40" t="s">
        <v>27</v>
      </c>
      <c r="B17" s="40"/>
      <c r="C17" s="40"/>
      <c r="D17" s="40"/>
      <c r="E17" s="40"/>
      <c r="F17" s="40"/>
      <c r="G17" s="40"/>
      <c r="H17" s="40"/>
      <c r="I17" s="40"/>
      <c r="J17" s="40"/>
      <c r="M17" s="40" t="s">
        <v>35</v>
      </c>
      <c r="N17" s="40"/>
      <c r="O17" s="40"/>
      <c r="P17" s="40"/>
      <c r="Q17" s="40"/>
      <c r="R17" s="40"/>
      <c r="S17" s="40"/>
      <c r="T17" s="40"/>
      <c r="U17" s="40"/>
      <c r="V17" s="40"/>
    </row>
    <row r="18" spans="1:22" x14ac:dyDescent="0.4">
      <c r="A18" s="41" t="s">
        <v>3</v>
      </c>
      <c r="B18" s="41" t="s">
        <v>21</v>
      </c>
      <c r="C18" s="41" t="s">
        <v>22</v>
      </c>
      <c r="D18" s="43" t="s">
        <v>5</v>
      </c>
      <c r="E18" s="43"/>
      <c r="F18" s="43"/>
      <c r="G18" s="43"/>
      <c r="H18" s="43"/>
      <c r="I18" s="43"/>
      <c r="J18" s="43"/>
      <c r="M18" s="41" t="s">
        <v>3</v>
      </c>
      <c r="N18" s="41" t="s">
        <v>21</v>
      </c>
      <c r="O18" s="41" t="s">
        <v>22</v>
      </c>
      <c r="P18" s="43" t="s">
        <v>5</v>
      </c>
      <c r="Q18" s="43"/>
      <c r="R18" s="43"/>
      <c r="S18" s="43"/>
      <c r="T18" s="43"/>
      <c r="U18" s="43"/>
      <c r="V18" s="43"/>
    </row>
    <row r="19" spans="1:22" x14ac:dyDescent="0.4">
      <c r="A19" s="42"/>
      <c r="B19" s="42"/>
      <c r="C19" s="42"/>
      <c r="D19" s="8" t="s">
        <v>13</v>
      </c>
      <c r="E19" s="8" t="s">
        <v>14</v>
      </c>
      <c r="F19" s="8" t="s">
        <v>15</v>
      </c>
      <c r="G19" s="8" t="s">
        <v>16</v>
      </c>
      <c r="H19" s="8" t="s">
        <v>17</v>
      </c>
      <c r="I19" s="8" t="s">
        <v>18</v>
      </c>
      <c r="J19" s="8" t="s">
        <v>19</v>
      </c>
      <c r="M19" s="42"/>
      <c r="N19" s="42"/>
      <c r="O19" s="42"/>
      <c r="P19" s="8" t="s">
        <v>13</v>
      </c>
      <c r="Q19" s="8" t="s">
        <v>14</v>
      </c>
      <c r="R19" s="8" t="s">
        <v>15</v>
      </c>
      <c r="S19" s="8" t="s">
        <v>16</v>
      </c>
      <c r="T19" s="8" t="s">
        <v>17</v>
      </c>
      <c r="U19" s="8" t="s">
        <v>18</v>
      </c>
      <c r="V19" s="8" t="s">
        <v>19</v>
      </c>
    </row>
    <row r="20" spans="1:22" x14ac:dyDescent="0.4">
      <c r="A20" s="5" t="s">
        <v>24</v>
      </c>
      <c r="B20" s="5"/>
      <c r="C20" s="5"/>
      <c r="D20" s="5"/>
      <c r="E20" s="5"/>
      <c r="F20" s="5"/>
      <c r="G20" s="5"/>
      <c r="H20" s="5"/>
      <c r="I20" s="5"/>
      <c r="J20" s="5"/>
      <c r="M20" s="5" t="s">
        <v>24</v>
      </c>
      <c r="N20" s="5"/>
      <c r="O20" s="5"/>
      <c r="P20" s="5"/>
      <c r="Q20" s="5"/>
      <c r="R20" s="5"/>
      <c r="S20" s="5"/>
      <c r="T20" s="5"/>
      <c r="U20" s="5"/>
      <c r="V20" s="5"/>
    </row>
    <row r="21" spans="1:22" x14ac:dyDescent="0.4">
      <c r="A21" s="5" t="s">
        <v>23</v>
      </c>
      <c r="B21" s="5"/>
      <c r="C21" s="5"/>
      <c r="D21" s="5"/>
      <c r="E21" s="5"/>
      <c r="F21" s="5"/>
      <c r="G21" s="5"/>
      <c r="H21" s="5"/>
      <c r="I21" s="5"/>
      <c r="J21" s="5"/>
      <c r="M21" s="5" t="s">
        <v>23</v>
      </c>
      <c r="N21" s="5"/>
      <c r="O21" s="5"/>
      <c r="P21" s="5"/>
      <c r="Q21" s="5"/>
      <c r="R21" s="5"/>
      <c r="S21" s="5"/>
      <c r="T21" s="5"/>
      <c r="U21" s="5"/>
      <c r="V21" s="5"/>
    </row>
    <row r="22" spans="1:22" x14ac:dyDescent="0.4">
      <c r="A22" s="5" t="s">
        <v>25</v>
      </c>
      <c r="B22" s="5"/>
      <c r="C22" s="5"/>
      <c r="D22" s="5"/>
      <c r="E22" s="5"/>
      <c r="F22" s="5"/>
      <c r="G22" s="5"/>
      <c r="H22" s="5"/>
      <c r="I22" s="5"/>
      <c r="J22" s="5"/>
      <c r="M22" s="5" t="s">
        <v>25</v>
      </c>
      <c r="N22" s="5"/>
      <c r="O22" s="5"/>
      <c r="P22" s="5"/>
      <c r="Q22" s="5"/>
      <c r="R22" s="5"/>
      <c r="S22" s="5"/>
      <c r="T22" s="5"/>
      <c r="U22" s="5"/>
      <c r="V22" s="5"/>
    </row>
    <row r="23" spans="1:22" x14ac:dyDescent="0.4">
      <c r="A23" s="5" t="s">
        <v>26</v>
      </c>
      <c r="B23" s="5"/>
      <c r="C23" s="5"/>
      <c r="D23" s="5"/>
      <c r="E23" s="5"/>
      <c r="F23" s="5"/>
      <c r="G23" s="5"/>
      <c r="H23" s="5"/>
      <c r="I23" s="5"/>
      <c r="J23" s="5"/>
      <c r="M23" s="5" t="s">
        <v>26</v>
      </c>
      <c r="N23" s="5"/>
      <c r="O23" s="5"/>
      <c r="P23" s="5"/>
      <c r="Q23" s="5"/>
      <c r="R23" s="5"/>
      <c r="S23" s="5"/>
      <c r="T23" s="5"/>
      <c r="U23" s="5"/>
      <c r="V23" s="5"/>
    </row>
    <row r="25" spans="1:22" x14ac:dyDescent="0.4">
      <c r="A25" s="6" t="s">
        <v>28</v>
      </c>
      <c r="B25" s="15"/>
      <c r="M25" s="6" t="s">
        <v>28</v>
      </c>
      <c r="N25" s="15"/>
    </row>
    <row r="26" spans="1:22" x14ac:dyDescent="0.4">
      <c r="A26" s="40" t="s">
        <v>27</v>
      </c>
      <c r="B26" s="40"/>
      <c r="C26" s="40"/>
      <c r="D26" s="40"/>
      <c r="E26" s="40"/>
      <c r="F26" s="40"/>
      <c r="G26" s="40"/>
      <c r="H26" s="40"/>
      <c r="I26" s="40"/>
      <c r="J26" s="40"/>
      <c r="M26" s="44" t="s">
        <v>36</v>
      </c>
      <c r="N26" s="45"/>
      <c r="O26" s="45"/>
      <c r="P26" s="45"/>
      <c r="Q26" s="45"/>
      <c r="R26" s="45"/>
      <c r="S26" s="45"/>
      <c r="T26" s="45"/>
      <c r="U26" s="45"/>
      <c r="V26" s="46"/>
    </row>
    <row r="27" spans="1:22" x14ac:dyDescent="0.4">
      <c r="A27" s="8" t="s">
        <v>29</v>
      </c>
      <c r="B27" s="8"/>
      <c r="C27" s="8" t="s">
        <v>32</v>
      </c>
      <c r="D27" s="8"/>
      <c r="E27" s="8" t="s">
        <v>33</v>
      </c>
      <c r="F27" s="8"/>
      <c r="G27" s="8" t="s">
        <v>34</v>
      </c>
      <c r="H27" s="8"/>
      <c r="I27" s="8" t="s">
        <v>86</v>
      </c>
      <c r="J27" s="8"/>
      <c r="M27" s="8" t="s">
        <v>29</v>
      </c>
      <c r="N27" s="8"/>
      <c r="O27" s="8" t="s">
        <v>32</v>
      </c>
      <c r="P27" s="8"/>
      <c r="Q27" s="8" t="s">
        <v>33</v>
      </c>
      <c r="R27" s="8"/>
      <c r="S27" s="8" t="s">
        <v>34</v>
      </c>
      <c r="T27" s="8"/>
      <c r="U27" s="8" t="s">
        <v>86</v>
      </c>
      <c r="V27" s="8"/>
    </row>
    <row r="28" spans="1:22" x14ac:dyDescent="0.4">
      <c r="A28" s="8" t="s">
        <v>30</v>
      </c>
      <c r="B28" s="8" t="s">
        <v>31</v>
      </c>
      <c r="C28" s="8" t="s">
        <v>30</v>
      </c>
      <c r="D28" s="8" t="s">
        <v>31</v>
      </c>
      <c r="E28" s="8" t="s">
        <v>30</v>
      </c>
      <c r="F28" s="8" t="s">
        <v>31</v>
      </c>
      <c r="G28" s="8" t="s">
        <v>30</v>
      </c>
      <c r="H28" s="8" t="s">
        <v>31</v>
      </c>
      <c r="I28" s="8" t="s">
        <v>30</v>
      </c>
      <c r="J28" s="8" t="s">
        <v>31</v>
      </c>
      <c r="M28" s="8" t="s">
        <v>30</v>
      </c>
      <c r="N28" s="8" t="s">
        <v>31</v>
      </c>
      <c r="O28" s="8" t="s">
        <v>30</v>
      </c>
      <c r="P28" s="8" t="s">
        <v>31</v>
      </c>
      <c r="Q28" s="8" t="s">
        <v>30</v>
      </c>
      <c r="R28" s="8" t="s">
        <v>31</v>
      </c>
      <c r="S28" s="8" t="s">
        <v>30</v>
      </c>
      <c r="T28" s="8" t="s">
        <v>31</v>
      </c>
      <c r="U28" s="8" t="s">
        <v>30</v>
      </c>
      <c r="V28" s="8" t="s">
        <v>31</v>
      </c>
    </row>
    <row r="29" spans="1:22" x14ac:dyDescent="0.4">
      <c r="A29" s="21">
        <v>2.7799999999999999E-3</v>
      </c>
      <c r="B29" s="22"/>
      <c r="C29" s="21"/>
      <c r="D29" s="22"/>
      <c r="E29" s="21"/>
      <c r="F29" s="22"/>
      <c r="G29" s="21"/>
      <c r="H29" s="22"/>
      <c r="I29" s="21"/>
      <c r="J29" s="22"/>
      <c r="M29" s="21">
        <v>2.7777777777777779E-3</v>
      </c>
      <c r="N29" s="22">
        <f>B29+0.0001</f>
        <v>1E-4</v>
      </c>
      <c r="O29" s="21"/>
      <c r="P29" s="22"/>
      <c r="Q29" s="21"/>
      <c r="R29" s="22"/>
      <c r="S29" s="21"/>
      <c r="T29" s="22"/>
      <c r="U29" s="21"/>
      <c r="V29" s="22"/>
    </row>
    <row r="30" spans="1:22" x14ac:dyDescent="0.4">
      <c r="A30" s="23">
        <v>0.25</v>
      </c>
      <c r="B30" s="24"/>
      <c r="C30" s="23"/>
      <c r="D30" s="24"/>
      <c r="E30" s="23"/>
      <c r="F30" s="24"/>
      <c r="G30" s="23"/>
      <c r="H30" s="24"/>
      <c r="I30" s="23"/>
      <c r="J30" s="24"/>
      <c r="M30" s="23">
        <v>0.25</v>
      </c>
      <c r="N30" s="22">
        <f t="shared" ref="N30:N72" si="16">B30+0.0001</f>
        <v>1E-4</v>
      </c>
      <c r="O30" s="23"/>
      <c r="P30" s="24"/>
      <c r="Q30" s="23"/>
      <c r="R30" s="24"/>
      <c r="S30" s="23"/>
      <c r="T30" s="24"/>
      <c r="U30" s="23"/>
      <c r="V30" s="24"/>
    </row>
    <row r="31" spans="1:22" x14ac:dyDescent="0.4">
      <c r="A31" s="23">
        <v>0.5</v>
      </c>
      <c r="B31" s="24"/>
      <c r="C31" s="23"/>
      <c r="D31" s="24"/>
      <c r="E31" s="23"/>
      <c r="F31" s="24"/>
      <c r="G31" s="23"/>
      <c r="H31" s="24"/>
      <c r="I31" s="23"/>
      <c r="J31" s="24"/>
      <c r="M31" s="23">
        <v>0.5</v>
      </c>
      <c r="N31" s="22">
        <f t="shared" si="16"/>
        <v>1E-4</v>
      </c>
      <c r="O31" s="23"/>
      <c r="P31" s="24"/>
      <c r="Q31" s="23"/>
      <c r="R31" s="24"/>
      <c r="S31" s="23"/>
      <c r="T31" s="24"/>
      <c r="U31" s="23"/>
      <c r="V31" s="24"/>
    </row>
    <row r="32" spans="1:22" x14ac:dyDescent="0.4">
      <c r="A32" s="23">
        <v>0.75</v>
      </c>
      <c r="B32" s="24"/>
      <c r="C32" s="23"/>
      <c r="D32" s="24"/>
      <c r="E32" s="23"/>
      <c r="F32" s="24"/>
      <c r="G32" s="23"/>
      <c r="H32" s="24"/>
      <c r="I32" s="23"/>
      <c r="J32" s="24"/>
      <c r="M32" s="23">
        <v>0.75</v>
      </c>
      <c r="N32" s="22">
        <f t="shared" si="16"/>
        <v>1E-4</v>
      </c>
      <c r="O32" s="23"/>
      <c r="P32" s="24"/>
      <c r="Q32" s="23"/>
      <c r="R32" s="24"/>
      <c r="S32" s="23"/>
      <c r="T32" s="24"/>
      <c r="U32" s="23"/>
      <c r="V32" s="24"/>
    </row>
    <row r="33" spans="1:22" x14ac:dyDescent="0.4">
      <c r="A33" s="23">
        <v>1</v>
      </c>
      <c r="B33" s="24"/>
      <c r="C33" s="23"/>
      <c r="D33" s="24"/>
      <c r="E33" s="23"/>
      <c r="F33" s="24"/>
      <c r="G33" s="23"/>
      <c r="H33" s="24"/>
      <c r="I33" s="23"/>
      <c r="J33" s="24"/>
      <c r="M33" s="23">
        <v>1</v>
      </c>
      <c r="N33" s="22">
        <f t="shared" si="16"/>
        <v>1E-4</v>
      </c>
      <c r="O33" s="23"/>
      <c r="P33" s="24"/>
      <c r="Q33" s="23"/>
      <c r="R33" s="24"/>
      <c r="S33" s="23"/>
      <c r="T33" s="24"/>
      <c r="U33" s="23"/>
      <c r="V33" s="24"/>
    </row>
    <row r="34" spans="1:22" x14ac:dyDescent="0.4">
      <c r="A34" s="23">
        <v>1.25</v>
      </c>
      <c r="B34" s="24"/>
      <c r="C34" s="23"/>
      <c r="D34" s="24"/>
      <c r="E34" s="23"/>
      <c r="F34" s="24"/>
      <c r="G34" s="23"/>
      <c r="H34" s="24"/>
      <c r="I34" s="23"/>
      <c r="J34" s="24"/>
      <c r="M34" s="23">
        <v>1.25</v>
      </c>
      <c r="N34" s="22">
        <f t="shared" si="16"/>
        <v>1E-4</v>
      </c>
      <c r="O34" s="23"/>
      <c r="P34" s="24"/>
      <c r="Q34" s="23"/>
      <c r="R34" s="24"/>
      <c r="S34" s="23"/>
      <c r="T34" s="24"/>
      <c r="U34" s="23"/>
      <c r="V34" s="24"/>
    </row>
    <row r="35" spans="1:22" x14ac:dyDescent="0.4">
      <c r="A35" s="23">
        <v>1.5</v>
      </c>
      <c r="B35" s="24"/>
      <c r="C35" s="23"/>
      <c r="D35" s="24"/>
      <c r="E35" s="23"/>
      <c r="F35" s="24"/>
      <c r="G35" s="23"/>
      <c r="H35" s="24"/>
      <c r="I35" s="23"/>
      <c r="J35" s="24"/>
      <c r="M35" s="23">
        <v>1.5</v>
      </c>
      <c r="N35" s="22">
        <f t="shared" si="16"/>
        <v>1E-4</v>
      </c>
      <c r="O35" s="23"/>
      <c r="P35" s="24"/>
      <c r="Q35" s="23"/>
      <c r="R35" s="24"/>
      <c r="S35" s="23"/>
      <c r="T35" s="24"/>
      <c r="U35" s="23"/>
      <c r="V35" s="24"/>
    </row>
    <row r="36" spans="1:22" x14ac:dyDescent="0.4">
      <c r="A36" s="23">
        <v>1.75</v>
      </c>
      <c r="B36" s="24"/>
      <c r="C36" s="23"/>
      <c r="D36" s="24"/>
      <c r="E36" s="23"/>
      <c r="F36" s="24"/>
      <c r="G36" s="23"/>
      <c r="H36" s="24"/>
      <c r="I36" s="23"/>
      <c r="J36" s="24"/>
      <c r="M36" s="23">
        <v>1.75</v>
      </c>
      <c r="N36" s="22">
        <f t="shared" si="16"/>
        <v>1E-4</v>
      </c>
      <c r="O36" s="23"/>
      <c r="P36" s="24"/>
      <c r="Q36" s="23"/>
      <c r="R36" s="24"/>
      <c r="S36" s="23"/>
      <c r="T36" s="24"/>
      <c r="U36" s="23"/>
      <c r="V36" s="24"/>
    </row>
    <row r="37" spans="1:22" x14ac:dyDescent="0.4">
      <c r="A37" s="23">
        <v>2</v>
      </c>
      <c r="B37" s="24"/>
      <c r="C37" s="23"/>
      <c r="D37" s="24"/>
      <c r="E37" s="23"/>
      <c r="F37" s="24"/>
      <c r="G37" s="23"/>
      <c r="H37" s="24"/>
      <c r="I37" s="23"/>
      <c r="J37" s="24"/>
      <c r="M37" s="23">
        <v>2</v>
      </c>
      <c r="N37" s="22">
        <f t="shared" si="16"/>
        <v>1E-4</v>
      </c>
      <c r="O37" s="23"/>
      <c r="P37" s="24"/>
      <c r="Q37" s="23"/>
      <c r="R37" s="24"/>
      <c r="S37" s="23"/>
      <c r="T37" s="24"/>
      <c r="U37" s="23"/>
      <c r="V37" s="24"/>
    </row>
    <row r="38" spans="1:22" x14ac:dyDescent="0.4">
      <c r="A38" s="23">
        <v>2.25</v>
      </c>
      <c r="B38" s="24"/>
      <c r="C38" s="23"/>
      <c r="D38" s="24"/>
      <c r="E38" s="23"/>
      <c r="F38" s="24"/>
      <c r="G38" s="23"/>
      <c r="H38" s="24"/>
      <c r="I38" s="23"/>
      <c r="J38" s="24"/>
      <c r="M38" s="23">
        <v>2.25</v>
      </c>
      <c r="N38" s="22">
        <f t="shared" si="16"/>
        <v>1E-4</v>
      </c>
      <c r="O38" s="23"/>
      <c r="P38" s="24"/>
      <c r="Q38" s="23"/>
      <c r="R38" s="24"/>
      <c r="S38" s="23"/>
      <c r="T38" s="24"/>
      <c r="U38" s="23"/>
      <c r="V38" s="24"/>
    </row>
    <row r="39" spans="1:22" x14ac:dyDescent="0.4">
      <c r="A39" s="23">
        <v>2.5</v>
      </c>
      <c r="B39" s="24"/>
      <c r="C39" s="23"/>
      <c r="D39" s="24"/>
      <c r="E39" s="23"/>
      <c r="F39" s="24"/>
      <c r="G39" s="23"/>
      <c r="H39" s="24"/>
      <c r="I39" s="23"/>
      <c r="J39" s="24"/>
      <c r="M39" s="23">
        <v>2.5</v>
      </c>
      <c r="N39" s="22">
        <f t="shared" si="16"/>
        <v>1E-4</v>
      </c>
      <c r="O39" s="23"/>
      <c r="P39" s="24"/>
      <c r="Q39" s="23"/>
      <c r="R39" s="24"/>
      <c r="S39" s="23"/>
      <c r="T39" s="24"/>
      <c r="U39" s="23"/>
      <c r="V39" s="24"/>
    </row>
    <row r="40" spans="1:22" x14ac:dyDescent="0.4">
      <c r="A40" s="23">
        <v>2.75</v>
      </c>
      <c r="B40" s="24"/>
      <c r="C40" s="23"/>
      <c r="D40" s="24"/>
      <c r="E40" s="23"/>
      <c r="F40" s="24"/>
      <c r="G40" s="23"/>
      <c r="H40" s="24"/>
      <c r="I40" s="23"/>
      <c r="J40" s="24"/>
      <c r="M40" s="23">
        <v>2.75</v>
      </c>
      <c r="N40" s="22">
        <f t="shared" si="16"/>
        <v>1E-4</v>
      </c>
      <c r="O40" s="23"/>
      <c r="P40" s="24"/>
      <c r="Q40" s="23"/>
      <c r="R40" s="24"/>
      <c r="S40" s="23"/>
      <c r="T40" s="24"/>
      <c r="U40" s="23"/>
      <c r="V40" s="24"/>
    </row>
    <row r="41" spans="1:22" x14ac:dyDescent="0.4">
      <c r="A41" s="23">
        <v>3</v>
      </c>
      <c r="B41" s="24"/>
      <c r="C41" s="23"/>
      <c r="D41" s="24"/>
      <c r="E41" s="23"/>
      <c r="F41" s="24"/>
      <c r="G41" s="23"/>
      <c r="H41" s="24"/>
      <c r="I41" s="23"/>
      <c r="J41" s="24"/>
      <c r="M41" s="23">
        <v>3</v>
      </c>
      <c r="N41" s="22">
        <f t="shared" si="16"/>
        <v>1E-4</v>
      </c>
      <c r="O41" s="23"/>
      <c r="P41" s="24"/>
      <c r="Q41" s="23"/>
      <c r="R41" s="24"/>
      <c r="S41" s="23"/>
      <c r="T41" s="24"/>
      <c r="U41" s="23"/>
      <c r="V41" s="24"/>
    </row>
    <row r="42" spans="1:22" x14ac:dyDescent="0.4">
      <c r="A42" s="23">
        <v>3.25</v>
      </c>
      <c r="B42" s="24"/>
      <c r="C42" s="23"/>
      <c r="D42" s="24"/>
      <c r="E42" s="23"/>
      <c r="F42" s="24"/>
      <c r="G42" s="23"/>
      <c r="H42" s="24"/>
      <c r="I42" s="23"/>
      <c r="J42" s="24"/>
      <c r="M42" s="23">
        <v>3.25</v>
      </c>
      <c r="N42" s="22">
        <f t="shared" si="16"/>
        <v>1E-4</v>
      </c>
      <c r="O42" s="23"/>
      <c r="P42" s="24"/>
      <c r="Q42" s="23"/>
      <c r="R42" s="24"/>
      <c r="S42" s="23"/>
      <c r="T42" s="24"/>
      <c r="U42" s="23"/>
      <c r="V42" s="24"/>
    </row>
    <row r="43" spans="1:22" x14ac:dyDescent="0.4">
      <c r="A43" s="23">
        <v>3.5</v>
      </c>
      <c r="B43" s="24"/>
      <c r="C43" s="23"/>
      <c r="D43" s="24"/>
      <c r="E43" s="23"/>
      <c r="F43" s="24"/>
      <c r="G43" s="23"/>
      <c r="H43" s="24"/>
      <c r="I43" s="23"/>
      <c r="J43" s="24"/>
      <c r="M43" s="23">
        <v>3.5</v>
      </c>
      <c r="N43" s="22">
        <f t="shared" si="16"/>
        <v>1E-4</v>
      </c>
      <c r="O43" s="23"/>
      <c r="P43" s="24"/>
      <c r="Q43" s="23"/>
      <c r="R43" s="24"/>
      <c r="S43" s="23"/>
      <c r="T43" s="24"/>
      <c r="U43" s="23"/>
      <c r="V43" s="24"/>
    </row>
    <row r="44" spans="1:22" x14ac:dyDescent="0.4">
      <c r="A44" s="23">
        <v>3.75</v>
      </c>
      <c r="B44" s="24"/>
      <c r="C44" s="23"/>
      <c r="D44" s="24"/>
      <c r="E44" s="23"/>
      <c r="F44" s="24"/>
      <c r="G44" s="23"/>
      <c r="H44" s="24"/>
      <c r="I44" s="23"/>
      <c r="J44" s="24"/>
      <c r="M44" s="23">
        <v>3.75</v>
      </c>
      <c r="N44" s="22">
        <f t="shared" si="16"/>
        <v>1E-4</v>
      </c>
      <c r="O44" s="23"/>
      <c r="P44" s="24"/>
      <c r="Q44" s="23"/>
      <c r="R44" s="24"/>
      <c r="S44" s="23"/>
      <c r="T44" s="24"/>
      <c r="U44" s="23"/>
      <c r="V44" s="24"/>
    </row>
    <row r="45" spans="1:22" x14ac:dyDescent="0.4">
      <c r="A45" s="23">
        <v>4</v>
      </c>
      <c r="B45" s="24"/>
      <c r="C45" s="23"/>
      <c r="D45" s="24"/>
      <c r="E45" s="23"/>
      <c r="F45" s="24"/>
      <c r="G45" s="23"/>
      <c r="H45" s="24"/>
      <c r="I45" s="23"/>
      <c r="J45" s="24"/>
      <c r="M45" s="23">
        <v>4</v>
      </c>
      <c r="N45" s="22">
        <f t="shared" si="16"/>
        <v>1E-4</v>
      </c>
      <c r="O45" s="23"/>
      <c r="P45" s="24"/>
      <c r="Q45" s="23"/>
      <c r="R45" s="24"/>
      <c r="S45" s="23"/>
      <c r="T45" s="24"/>
      <c r="U45" s="23"/>
      <c r="V45" s="24"/>
    </row>
    <row r="46" spans="1:22" x14ac:dyDescent="0.4">
      <c r="A46" s="23">
        <v>4.25</v>
      </c>
      <c r="B46" s="24"/>
      <c r="C46" s="23"/>
      <c r="D46" s="24"/>
      <c r="E46" s="23"/>
      <c r="F46" s="24"/>
      <c r="G46" s="23"/>
      <c r="H46" s="24"/>
      <c r="I46" s="23"/>
      <c r="J46" s="24"/>
      <c r="M46" s="23">
        <v>4.25</v>
      </c>
      <c r="N46" s="22">
        <f t="shared" si="16"/>
        <v>1E-4</v>
      </c>
      <c r="O46" s="23"/>
      <c r="P46" s="24"/>
      <c r="Q46" s="23"/>
      <c r="R46" s="24"/>
      <c r="S46" s="23"/>
      <c r="T46" s="24"/>
      <c r="U46" s="23"/>
      <c r="V46" s="24"/>
    </row>
    <row r="47" spans="1:22" x14ac:dyDescent="0.4">
      <c r="A47" s="23">
        <v>4.5</v>
      </c>
      <c r="B47" s="24"/>
      <c r="C47" s="23"/>
      <c r="D47" s="24"/>
      <c r="E47" s="23"/>
      <c r="F47" s="24"/>
      <c r="G47" s="23"/>
      <c r="H47" s="24"/>
      <c r="I47" s="23"/>
      <c r="J47" s="24"/>
      <c r="M47" s="23">
        <v>4.5</v>
      </c>
      <c r="N47" s="22">
        <f t="shared" si="16"/>
        <v>1E-4</v>
      </c>
      <c r="O47" s="23"/>
      <c r="P47" s="24"/>
      <c r="Q47" s="23"/>
      <c r="R47" s="24"/>
      <c r="S47" s="23"/>
      <c r="T47" s="24"/>
      <c r="U47" s="23"/>
      <c r="V47" s="24"/>
    </row>
    <row r="48" spans="1:22" x14ac:dyDescent="0.4">
      <c r="A48" s="23">
        <v>4.75</v>
      </c>
      <c r="B48" s="24"/>
      <c r="C48" s="23"/>
      <c r="D48" s="24"/>
      <c r="E48" s="23"/>
      <c r="F48" s="24"/>
      <c r="G48" s="23"/>
      <c r="H48" s="24"/>
      <c r="I48" s="23"/>
      <c r="J48" s="24"/>
      <c r="M48" s="23">
        <v>4.75</v>
      </c>
      <c r="N48" s="22">
        <f t="shared" si="16"/>
        <v>1E-4</v>
      </c>
      <c r="O48" s="23"/>
      <c r="P48" s="24"/>
      <c r="Q48" s="23"/>
      <c r="R48" s="24"/>
      <c r="S48" s="23"/>
      <c r="T48" s="24"/>
      <c r="U48" s="23"/>
      <c r="V48" s="24"/>
    </row>
    <row r="49" spans="1:22" x14ac:dyDescent="0.4">
      <c r="A49" s="23">
        <v>5</v>
      </c>
      <c r="B49" s="24"/>
      <c r="C49" s="23"/>
      <c r="D49" s="24"/>
      <c r="E49" s="23"/>
      <c r="F49" s="24"/>
      <c r="G49" s="23"/>
      <c r="H49" s="24"/>
      <c r="I49" s="23"/>
      <c r="J49" s="24"/>
      <c r="M49" s="23">
        <v>5</v>
      </c>
      <c r="N49" s="22">
        <f t="shared" si="16"/>
        <v>1E-4</v>
      </c>
      <c r="O49" s="23"/>
      <c r="P49" s="24"/>
      <c r="Q49" s="23"/>
      <c r="R49" s="24"/>
      <c r="S49" s="23"/>
      <c r="T49" s="24"/>
      <c r="U49" s="23"/>
      <c r="V49" s="24"/>
    </row>
    <row r="50" spans="1:22" x14ac:dyDescent="0.4">
      <c r="A50" s="23">
        <v>5.25</v>
      </c>
      <c r="B50" s="24"/>
      <c r="C50" s="23"/>
      <c r="D50" s="24"/>
      <c r="E50" s="23"/>
      <c r="F50" s="24"/>
      <c r="G50" s="23"/>
      <c r="H50" s="24"/>
      <c r="I50" s="23"/>
      <c r="J50" s="24"/>
      <c r="M50" s="23">
        <v>5.25</v>
      </c>
      <c r="N50" s="22">
        <f t="shared" si="16"/>
        <v>1E-4</v>
      </c>
      <c r="O50" s="23"/>
      <c r="P50" s="24"/>
      <c r="Q50" s="23"/>
      <c r="R50" s="24"/>
      <c r="S50" s="23"/>
      <c r="T50" s="24"/>
      <c r="U50" s="23"/>
      <c r="V50" s="24"/>
    </row>
    <row r="51" spans="1:22" x14ac:dyDescent="0.4">
      <c r="A51" s="23">
        <v>5.5</v>
      </c>
      <c r="B51" s="24"/>
      <c r="C51" s="23"/>
      <c r="D51" s="24"/>
      <c r="E51" s="23"/>
      <c r="F51" s="24"/>
      <c r="G51" s="23"/>
      <c r="H51" s="24"/>
      <c r="I51" s="23"/>
      <c r="J51" s="24"/>
      <c r="M51" s="23">
        <v>5.5</v>
      </c>
      <c r="N51" s="22">
        <f t="shared" si="16"/>
        <v>1E-4</v>
      </c>
      <c r="O51" s="23"/>
      <c r="P51" s="24"/>
      <c r="Q51" s="23"/>
      <c r="R51" s="24"/>
      <c r="S51" s="23"/>
      <c r="T51" s="24"/>
      <c r="U51" s="23"/>
      <c r="V51" s="24"/>
    </row>
    <row r="52" spans="1:22" x14ac:dyDescent="0.4">
      <c r="A52" s="23">
        <v>5.75</v>
      </c>
      <c r="B52" s="24"/>
      <c r="C52" s="23"/>
      <c r="D52" s="24"/>
      <c r="E52" s="23"/>
      <c r="F52" s="24"/>
      <c r="G52" s="23"/>
      <c r="H52" s="24"/>
      <c r="I52" s="23"/>
      <c r="J52" s="24"/>
      <c r="M52" s="23">
        <v>5.75</v>
      </c>
      <c r="N52" s="22">
        <f t="shared" si="16"/>
        <v>1E-4</v>
      </c>
      <c r="O52" s="23"/>
      <c r="P52" s="24"/>
      <c r="Q52" s="23"/>
      <c r="R52" s="24"/>
      <c r="S52" s="23"/>
      <c r="T52" s="24"/>
      <c r="U52" s="23"/>
      <c r="V52" s="24"/>
    </row>
    <row r="53" spans="1:22" x14ac:dyDescent="0.4">
      <c r="A53" s="23">
        <v>6</v>
      </c>
      <c r="B53" s="24"/>
      <c r="C53" s="23"/>
      <c r="D53" s="24"/>
      <c r="E53" s="23"/>
      <c r="F53" s="24"/>
      <c r="G53" s="23"/>
      <c r="H53" s="24"/>
      <c r="I53" s="23"/>
      <c r="J53" s="24"/>
      <c r="M53" s="23">
        <v>6</v>
      </c>
      <c r="N53" s="22">
        <f t="shared" si="16"/>
        <v>1E-4</v>
      </c>
      <c r="O53" s="23"/>
      <c r="P53" s="24"/>
      <c r="Q53" s="23"/>
      <c r="R53" s="24"/>
      <c r="S53" s="23"/>
      <c r="T53" s="24"/>
      <c r="U53" s="23"/>
      <c r="V53" s="24"/>
    </row>
    <row r="54" spans="1:22" x14ac:dyDescent="0.4">
      <c r="A54" s="23">
        <v>6.25</v>
      </c>
      <c r="B54" s="24"/>
      <c r="C54" s="23"/>
      <c r="D54" s="24"/>
      <c r="E54" s="23"/>
      <c r="F54" s="24"/>
      <c r="G54" s="23"/>
      <c r="H54" s="24"/>
      <c r="I54" s="23"/>
      <c r="J54" s="24"/>
      <c r="M54" s="23">
        <v>6.25</v>
      </c>
      <c r="N54" s="22">
        <f t="shared" si="16"/>
        <v>1E-4</v>
      </c>
      <c r="O54" s="23"/>
      <c r="P54" s="24"/>
      <c r="Q54" s="23"/>
      <c r="R54" s="24"/>
      <c r="S54" s="23"/>
      <c r="T54" s="24"/>
      <c r="U54" s="23"/>
      <c r="V54" s="24"/>
    </row>
    <row r="55" spans="1:22" x14ac:dyDescent="0.4">
      <c r="A55" s="23">
        <v>6.5</v>
      </c>
      <c r="B55" s="24"/>
      <c r="C55" s="23"/>
      <c r="D55" s="24"/>
      <c r="E55" s="23"/>
      <c r="F55" s="24"/>
      <c r="G55" s="23"/>
      <c r="H55" s="24"/>
      <c r="I55" s="23"/>
      <c r="J55" s="24"/>
      <c r="M55" s="23">
        <v>6.5</v>
      </c>
      <c r="N55" s="22">
        <f t="shared" si="16"/>
        <v>1E-4</v>
      </c>
      <c r="O55" s="23"/>
      <c r="P55" s="24"/>
      <c r="Q55" s="23"/>
      <c r="R55" s="24"/>
      <c r="S55" s="23"/>
      <c r="T55" s="24"/>
      <c r="U55" s="23"/>
      <c r="V55" s="24"/>
    </row>
    <row r="56" spans="1:22" x14ac:dyDescent="0.4">
      <c r="A56" s="23">
        <v>6.75</v>
      </c>
      <c r="B56" s="24"/>
      <c r="C56" s="23"/>
      <c r="D56" s="24"/>
      <c r="E56" s="23"/>
      <c r="F56" s="24"/>
      <c r="G56" s="23"/>
      <c r="H56" s="24"/>
      <c r="I56" s="23"/>
      <c r="J56" s="24"/>
      <c r="M56" s="23">
        <v>6.75</v>
      </c>
      <c r="N56" s="22">
        <f t="shared" si="16"/>
        <v>1E-4</v>
      </c>
      <c r="O56" s="23"/>
      <c r="P56" s="24"/>
      <c r="Q56" s="23"/>
      <c r="R56" s="24"/>
      <c r="S56" s="23"/>
      <c r="T56" s="24"/>
      <c r="U56" s="23"/>
      <c r="V56" s="24"/>
    </row>
    <row r="57" spans="1:22" x14ac:dyDescent="0.4">
      <c r="A57" s="23">
        <v>7</v>
      </c>
      <c r="B57" s="24"/>
      <c r="C57" s="23"/>
      <c r="D57" s="24"/>
      <c r="E57" s="23"/>
      <c r="F57" s="24"/>
      <c r="G57" s="23"/>
      <c r="H57" s="24"/>
      <c r="I57" s="23"/>
      <c r="J57" s="24"/>
      <c r="M57" s="23">
        <v>7</v>
      </c>
      <c r="N57" s="22">
        <f t="shared" si="16"/>
        <v>1E-4</v>
      </c>
      <c r="O57" s="23"/>
      <c r="P57" s="24"/>
      <c r="Q57" s="23"/>
      <c r="R57" s="24"/>
      <c r="S57" s="23"/>
      <c r="T57" s="24"/>
      <c r="U57" s="23"/>
      <c r="V57" s="24"/>
    </row>
    <row r="58" spans="1:22" x14ac:dyDescent="0.4">
      <c r="A58" s="23">
        <v>7.25</v>
      </c>
      <c r="B58" s="24"/>
      <c r="C58" s="23"/>
      <c r="D58" s="24"/>
      <c r="E58" s="23"/>
      <c r="F58" s="24"/>
      <c r="G58" s="23"/>
      <c r="H58" s="24"/>
      <c r="I58" s="23"/>
      <c r="J58" s="24"/>
      <c r="M58" s="23">
        <v>7.25</v>
      </c>
      <c r="N58" s="22">
        <f t="shared" si="16"/>
        <v>1E-4</v>
      </c>
      <c r="O58" s="23"/>
      <c r="P58" s="24"/>
      <c r="Q58" s="23"/>
      <c r="R58" s="24"/>
      <c r="S58" s="23"/>
      <c r="T58" s="24"/>
      <c r="U58" s="23"/>
      <c r="V58" s="24"/>
    </row>
    <row r="59" spans="1:22" x14ac:dyDescent="0.4">
      <c r="A59" s="23">
        <v>7.5</v>
      </c>
      <c r="B59" s="24"/>
      <c r="C59" s="23"/>
      <c r="D59" s="24"/>
      <c r="E59" s="23"/>
      <c r="F59" s="24"/>
      <c r="G59" s="23"/>
      <c r="H59" s="24"/>
      <c r="I59" s="23"/>
      <c r="J59" s="24"/>
      <c r="M59" s="23">
        <v>7.5</v>
      </c>
      <c r="N59" s="22">
        <f t="shared" si="16"/>
        <v>1E-4</v>
      </c>
      <c r="O59" s="23"/>
      <c r="P59" s="24"/>
      <c r="Q59" s="23"/>
      <c r="R59" s="24"/>
      <c r="S59" s="23"/>
      <c r="T59" s="24"/>
      <c r="U59" s="23"/>
      <c r="V59" s="24"/>
    </row>
    <row r="60" spans="1:22" x14ac:dyDescent="0.4">
      <c r="A60" s="23">
        <v>7.75</v>
      </c>
      <c r="B60" s="24"/>
      <c r="C60" s="23"/>
      <c r="D60" s="24"/>
      <c r="E60" s="23"/>
      <c r="F60" s="24"/>
      <c r="G60" s="23"/>
      <c r="H60" s="24"/>
      <c r="I60" s="23"/>
      <c r="J60" s="24"/>
      <c r="M60" s="23">
        <v>7.75</v>
      </c>
      <c r="N60" s="22">
        <f t="shared" si="16"/>
        <v>1E-4</v>
      </c>
      <c r="O60" s="23"/>
      <c r="P60" s="24"/>
      <c r="Q60" s="23"/>
      <c r="R60" s="24"/>
      <c r="S60" s="23"/>
      <c r="T60" s="24"/>
      <c r="U60" s="23"/>
      <c r="V60" s="24"/>
    </row>
    <row r="61" spans="1:22" x14ac:dyDescent="0.4">
      <c r="A61" s="23">
        <v>8</v>
      </c>
      <c r="B61" s="24"/>
      <c r="C61" s="23"/>
      <c r="D61" s="24"/>
      <c r="E61" s="23"/>
      <c r="F61" s="24"/>
      <c r="G61" s="23"/>
      <c r="H61" s="24"/>
      <c r="I61" s="23"/>
      <c r="J61" s="24"/>
      <c r="M61" s="23">
        <v>8</v>
      </c>
      <c r="N61" s="22">
        <f t="shared" si="16"/>
        <v>1E-4</v>
      </c>
      <c r="O61" s="23"/>
      <c r="P61" s="24"/>
      <c r="Q61" s="23"/>
      <c r="R61" s="24"/>
      <c r="S61" s="23"/>
      <c r="T61" s="24"/>
      <c r="U61" s="23"/>
      <c r="V61" s="24"/>
    </row>
    <row r="62" spans="1:22" x14ac:dyDescent="0.4">
      <c r="A62" s="23">
        <v>8.25</v>
      </c>
      <c r="B62" s="24"/>
      <c r="C62" s="23"/>
      <c r="D62" s="24"/>
      <c r="E62" s="23"/>
      <c r="F62" s="24"/>
      <c r="G62" s="23"/>
      <c r="H62" s="24"/>
      <c r="I62" s="23"/>
      <c r="J62" s="24"/>
      <c r="M62" s="23">
        <v>8.25</v>
      </c>
      <c r="N62" s="22">
        <f t="shared" si="16"/>
        <v>1E-4</v>
      </c>
      <c r="O62" s="23"/>
      <c r="P62" s="24"/>
      <c r="Q62" s="23"/>
      <c r="R62" s="24"/>
      <c r="S62" s="23"/>
      <c r="T62" s="24"/>
      <c r="U62" s="23"/>
      <c r="V62" s="24"/>
    </row>
    <row r="63" spans="1:22" x14ac:dyDescent="0.4">
      <c r="A63" s="23">
        <v>8.5</v>
      </c>
      <c r="B63" s="24"/>
      <c r="C63" s="23"/>
      <c r="D63" s="24"/>
      <c r="E63" s="23"/>
      <c r="F63" s="24"/>
      <c r="G63" s="23"/>
      <c r="H63" s="24"/>
      <c r="I63" s="23"/>
      <c r="J63" s="24"/>
      <c r="M63" s="23">
        <v>8.5</v>
      </c>
      <c r="N63" s="22">
        <f t="shared" si="16"/>
        <v>1E-4</v>
      </c>
      <c r="O63" s="23"/>
      <c r="P63" s="24"/>
      <c r="Q63" s="23"/>
      <c r="R63" s="24"/>
      <c r="S63" s="23"/>
      <c r="T63" s="24"/>
      <c r="U63" s="23"/>
      <c r="V63" s="24"/>
    </row>
    <row r="64" spans="1:22" x14ac:dyDescent="0.4">
      <c r="A64" s="23">
        <v>8.75</v>
      </c>
      <c r="B64" s="24"/>
      <c r="C64" s="23"/>
      <c r="D64" s="24"/>
      <c r="E64" s="23"/>
      <c r="F64" s="24"/>
      <c r="G64" s="23"/>
      <c r="H64" s="24"/>
      <c r="I64" s="23"/>
      <c r="J64" s="24"/>
      <c r="M64" s="23">
        <v>8.75</v>
      </c>
      <c r="N64" s="22">
        <f t="shared" si="16"/>
        <v>1E-4</v>
      </c>
      <c r="O64" s="23"/>
      <c r="P64" s="24"/>
      <c r="Q64" s="23"/>
      <c r="R64" s="24"/>
      <c r="S64" s="23"/>
      <c r="T64" s="24"/>
      <c r="U64" s="23"/>
      <c r="V64" s="24"/>
    </row>
    <row r="65" spans="1:22" x14ac:dyDescent="0.4">
      <c r="A65" s="23">
        <v>9</v>
      </c>
      <c r="B65" s="24"/>
      <c r="C65" s="23"/>
      <c r="D65" s="24"/>
      <c r="E65" s="23"/>
      <c r="F65" s="24"/>
      <c r="G65" s="23"/>
      <c r="H65" s="24"/>
      <c r="I65" s="23"/>
      <c r="J65" s="24"/>
      <c r="M65" s="23">
        <v>9</v>
      </c>
      <c r="N65" s="22">
        <f t="shared" si="16"/>
        <v>1E-4</v>
      </c>
      <c r="O65" s="23"/>
      <c r="P65" s="24"/>
      <c r="Q65" s="23"/>
      <c r="R65" s="24"/>
      <c r="S65" s="23"/>
      <c r="T65" s="24"/>
      <c r="U65" s="23"/>
      <c r="V65" s="24"/>
    </row>
    <row r="66" spans="1:22" x14ac:dyDescent="0.4">
      <c r="A66" s="23">
        <v>9.25</v>
      </c>
      <c r="B66" s="24"/>
      <c r="C66" s="23"/>
      <c r="D66" s="24"/>
      <c r="E66" s="23"/>
      <c r="F66" s="24"/>
      <c r="G66" s="23"/>
      <c r="H66" s="24"/>
      <c r="I66" s="23"/>
      <c r="J66" s="24"/>
      <c r="M66" s="23">
        <v>9.25</v>
      </c>
      <c r="N66" s="22">
        <f t="shared" si="16"/>
        <v>1E-4</v>
      </c>
      <c r="O66" s="23"/>
      <c r="P66" s="24"/>
      <c r="Q66" s="23"/>
      <c r="R66" s="24"/>
      <c r="S66" s="23"/>
      <c r="T66" s="24"/>
      <c r="U66" s="23"/>
      <c r="V66" s="24"/>
    </row>
    <row r="67" spans="1:22" x14ac:dyDescent="0.4">
      <c r="A67" s="23">
        <v>9.5</v>
      </c>
      <c r="B67" s="24"/>
      <c r="C67" s="23"/>
      <c r="D67" s="24"/>
      <c r="E67" s="23"/>
      <c r="F67" s="24"/>
      <c r="G67" s="23"/>
      <c r="H67" s="24"/>
      <c r="I67" s="23"/>
      <c r="J67" s="24"/>
      <c r="M67" s="23">
        <v>9.5</v>
      </c>
      <c r="N67" s="22">
        <f t="shared" si="16"/>
        <v>1E-4</v>
      </c>
      <c r="O67" s="23"/>
      <c r="P67" s="24"/>
      <c r="Q67" s="23"/>
      <c r="R67" s="24"/>
      <c r="S67" s="23"/>
      <c r="T67" s="24"/>
      <c r="U67" s="23"/>
      <c r="V67" s="24"/>
    </row>
    <row r="68" spans="1:22" x14ac:dyDescent="0.4">
      <c r="A68" s="23">
        <v>9.75</v>
      </c>
      <c r="B68" s="24"/>
      <c r="C68" s="23"/>
      <c r="D68" s="24"/>
      <c r="E68" s="23"/>
      <c r="F68" s="24"/>
      <c r="G68" s="23"/>
      <c r="H68" s="24"/>
      <c r="I68" s="23"/>
      <c r="J68" s="24"/>
      <c r="M68" s="23">
        <v>9.75</v>
      </c>
      <c r="N68" s="22">
        <f t="shared" si="16"/>
        <v>1E-4</v>
      </c>
      <c r="O68" s="23"/>
      <c r="P68" s="24"/>
      <c r="Q68" s="23"/>
      <c r="R68" s="24"/>
      <c r="S68" s="23"/>
      <c r="T68" s="24"/>
      <c r="U68" s="23"/>
      <c r="V68" s="24"/>
    </row>
    <row r="69" spans="1:22" x14ac:dyDescent="0.4">
      <c r="A69" s="23">
        <v>10</v>
      </c>
      <c r="B69" s="24"/>
      <c r="C69" s="23"/>
      <c r="D69" s="24"/>
      <c r="E69" s="23"/>
      <c r="F69" s="24"/>
      <c r="G69" s="23"/>
      <c r="H69" s="24"/>
      <c r="I69" s="23"/>
      <c r="J69" s="24"/>
      <c r="M69" s="23">
        <v>10</v>
      </c>
      <c r="N69" s="22">
        <f t="shared" si="16"/>
        <v>1E-4</v>
      </c>
      <c r="O69" s="23"/>
      <c r="P69" s="24"/>
      <c r="Q69" s="23"/>
      <c r="R69" s="24"/>
      <c r="S69" s="23"/>
      <c r="T69" s="24"/>
      <c r="U69" s="23"/>
      <c r="V69" s="24"/>
    </row>
    <row r="70" spans="1:22" x14ac:dyDescent="0.4">
      <c r="A70" s="23">
        <v>12</v>
      </c>
      <c r="B70" s="24"/>
      <c r="C70" s="23"/>
      <c r="D70" s="24"/>
      <c r="E70" s="23"/>
      <c r="F70" s="24"/>
      <c r="G70" s="23"/>
      <c r="H70" s="24"/>
      <c r="I70" s="23"/>
      <c r="J70" s="24"/>
      <c r="M70" s="23">
        <v>12</v>
      </c>
      <c r="N70" s="22">
        <f t="shared" si="16"/>
        <v>1E-4</v>
      </c>
      <c r="O70" s="23"/>
      <c r="P70" s="24"/>
      <c r="Q70" s="23"/>
      <c r="R70" s="24"/>
      <c r="S70" s="23"/>
      <c r="T70" s="24"/>
      <c r="U70" s="23"/>
      <c r="V70" s="24"/>
    </row>
    <row r="71" spans="1:22" x14ac:dyDescent="0.4">
      <c r="A71" s="23">
        <v>15</v>
      </c>
      <c r="B71" s="24"/>
      <c r="C71" s="23"/>
      <c r="D71" s="24"/>
      <c r="E71" s="23"/>
      <c r="F71" s="24"/>
      <c r="G71" s="23"/>
      <c r="H71" s="24"/>
      <c r="I71" s="23"/>
      <c r="J71" s="24"/>
      <c r="M71" s="23">
        <v>15</v>
      </c>
      <c r="N71" s="22">
        <f t="shared" si="16"/>
        <v>1E-4</v>
      </c>
      <c r="O71" s="23"/>
      <c r="P71" s="24"/>
      <c r="Q71" s="23"/>
      <c r="R71" s="24"/>
      <c r="S71" s="23"/>
      <c r="T71" s="24"/>
      <c r="U71" s="23"/>
      <c r="V71" s="24"/>
    </row>
    <row r="72" spans="1:22" x14ac:dyDescent="0.4">
      <c r="A72" s="25">
        <v>20</v>
      </c>
      <c r="B72" s="26"/>
      <c r="C72" s="25"/>
      <c r="D72" s="26"/>
      <c r="E72" s="25"/>
      <c r="F72" s="26"/>
      <c r="G72" s="25"/>
      <c r="H72" s="26"/>
      <c r="I72" s="25"/>
      <c r="J72" s="26"/>
      <c r="M72" s="25">
        <v>20</v>
      </c>
      <c r="N72" s="22">
        <f t="shared" si="16"/>
        <v>1E-4</v>
      </c>
      <c r="O72" s="25"/>
      <c r="P72" s="26"/>
      <c r="Q72" s="25"/>
      <c r="R72" s="26"/>
      <c r="S72" s="25"/>
      <c r="T72" s="26"/>
      <c r="U72" s="25"/>
      <c r="V72" s="26"/>
    </row>
    <row r="75" spans="1:22" x14ac:dyDescent="0.4">
      <c r="A75" s="6" t="s">
        <v>37</v>
      </c>
    </row>
    <row r="76" spans="1:22" x14ac:dyDescent="0.4">
      <c r="A76" s="8" t="s">
        <v>38</v>
      </c>
      <c r="B76" s="8"/>
      <c r="C76" s="8" t="s">
        <v>39</v>
      </c>
      <c r="D76" s="8"/>
      <c r="E76" s="8" t="s">
        <v>40</v>
      </c>
      <c r="F76" s="8"/>
      <c r="G76" s="8" t="s">
        <v>41</v>
      </c>
      <c r="H76" s="8"/>
      <c r="I76" s="8" t="s">
        <v>42</v>
      </c>
      <c r="J76" s="8"/>
    </row>
    <row r="77" spans="1:22" x14ac:dyDescent="0.4">
      <c r="A77" s="8" t="s">
        <v>43</v>
      </c>
      <c r="B77" s="8" t="s">
        <v>44</v>
      </c>
      <c r="C77" s="8" t="s">
        <v>43</v>
      </c>
      <c r="D77" s="8" t="s">
        <v>44</v>
      </c>
      <c r="E77" s="8" t="s">
        <v>43</v>
      </c>
      <c r="F77" s="8" t="s">
        <v>44</v>
      </c>
      <c r="G77" s="8" t="s">
        <v>43</v>
      </c>
      <c r="H77" s="8" t="s">
        <v>44</v>
      </c>
      <c r="I77" s="8" t="s">
        <v>43</v>
      </c>
      <c r="J77" s="8" t="s">
        <v>44</v>
      </c>
    </row>
    <row r="78" spans="1:22" x14ac:dyDescent="0.4">
      <c r="A78" s="5"/>
      <c r="B78" s="5"/>
      <c r="C78" s="5"/>
      <c r="D78" s="5"/>
      <c r="E78" s="5"/>
      <c r="F78" s="5"/>
      <c r="G78" s="5"/>
      <c r="H78" s="5"/>
      <c r="I78" s="5"/>
      <c r="J78" s="5"/>
    </row>
    <row r="79" spans="1:22" x14ac:dyDescent="0.4">
      <c r="A79" s="5"/>
      <c r="B79" s="5"/>
      <c r="C79" s="5"/>
      <c r="D79" s="5"/>
      <c r="E79" s="5"/>
      <c r="F79" s="5"/>
      <c r="G79" s="5"/>
      <c r="H79" s="5"/>
      <c r="I79" s="5"/>
      <c r="J79" s="5"/>
    </row>
    <row r="80" spans="1:22" x14ac:dyDescent="0.4">
      <c r="A80" s="5"/>
      <c r="B80" s="5"/>
      <c r="C80" s="5"/>
      <c r="D80" s="5"/>
      <c r="E80" s="5"/>
      <c r="F80" s="5"/>
      <c r="G80" s="5"/>
      <c r="H80" s="5"/>
      <c r="I80" s="5"/>
      <c r="J80" s="5"/>
    </row>
    <row r="81" spans="1:10" x14ac:dyDescent="0.4">
      <c r="A81" s="5"/>
      <c r="B81" s="5"/>
      <c r="C81" s="5"/>
      <c r="D81" s="5"/>
      <c r="E81" s="5"/>
      <c r="F81" s="5"/>
      <c r="G81" s="5"/>
      <c r="H81" s="5"/>
      <c r="I81" s="5"/>
      <c r="J81" s="5"/>
    </row>
    <row r="82" spans="1:10" x14ac:dyDescent="0.4">
      <c r="A82" s="5"/>
      <c r="B82" s="5"/>
      <c r="C82" s="5"/>
      <c r="D82" s="5"/>
      <c r="E82" s="5"/>
      <c r="F82" s="5"/>
      <c r="G82" s="5"/>
      <c r="H82" s="5"/>
      <c r="I82" s="5"/>
      <c r="J82" s="5"/>
    </row>
    <row r="83" spans="1:10" x14ac:dyDescent="0.4">
      <c r="A83" s="5"/>
      <c r="B83" s="5"/>
      <c r="C83" s="5"/>
      <c r="D83" s="5"/>
      <c r="E83" s="5"/>
      <c r="F83" s="5"/>
      <c r="G83" s="5"/>
      <c r="H83" s="5"/>
      <c r="I83" s="5"/>
      <c r="J83" s="5"/>
    </row>
    <row r="84" spans="1:10" x14ac:dyDescent="0.4">
      <c r="A84" s="5"/>
      <c r="B84" s="5"/>
      <c r="C84" s="5"/>
      <c r="D84" s="5"/>
      <c r="E84" s="5"/>
      <c r="F84" s="5"/>
      <c r="G84" s="5"/>
      <c r="H84" s="5"/>
      <c r="I84" s="5"/>
      <c r="J84" s="5"/>
    </row>
    <row r="85" spans="1:10" x14ac:dyDescent="0.4">
      <c r="A85" s="5"/>
      <c r="B85" s="5"/>
      <c r="C85" s="5"/>
      <c r="D85" s="5"/>
      <c r="E85" s="5"/>
      <c r="F85" s="5"/>
      <c r="G85" s="5"/>
      <c r="H85" s="5"/>
      <c r="I85" s="5"/>
      <c r="J85" s="5"/>
    </row>
    <row r="86" spans="1:10" x14ac:dyDescent="0.4">
      <c r="A86" s="5"/>
      <c r="B86" s="5"/>
      <c r="C86" s="5"/>
      <c r="D86" s="5"/>
      <c r="E86" s="5"/>
      <c r="F86" s="5"/>
      <c r="G86" s="5"/>
      <c r="H86" s="5"/>
      <c r="I86" s="5"/>
      <c r="J86" s="5"/>
    </row>
    <row r="87" spans="1:10" x14ac:dyDescent="0.4">
      <c r="A87" s="5"/>
      <c r="B87" s="5"/>
      <c r="C87" s="5"/>
      <c r="D87" s="5"/>
      <c r="E87" s="5"/>
      <c r="F87" s="5"/>
      <c r="G87" s="5"/>
      <c r="H87" s="5"/>
      <c r="I87" s="5"/>
      <c r="J87" s="5"/>
    </row>
    <row r="88" spans="1:10" x14ac:dyDescent="0.4">
      <c r="A88" s="5"/>
      <c r="B88" s="5"/>
      <c r="C88" s="5"/>
      <c r="D88" s="5"/>
      <c r="E88" s="5"/>
      <c r="F88" s="5"/>
      <c r="G88" s="5"/>
      <c r="H88" s="5"/>
      <c r="I88" s="5"/>
      <c r="J88" s="5"/>
    </row>
    <row r="89" spans="1:10" x14ac:dyDescent="0.4">
      <c r="A89" s="5"/>
      <c r="B89" s="5"/>
      <c r="C89" s="5"/>
      <c r="D89" s="5"/>
      <c r="E89" s="5"/>
      <c r="F89" s="5"/>
      <c r="G89" s="5"/>
      <c r="H89" s="5"/>
      <c r="I89" s="5"/>
      <c r="J89" s="5"/>
    </row>
    <row r="90" spans="1:10" x14ac:dyDescent="0.4">
      <c r="A90" s="5"/>
      <c r="B90" s="5"/>
      <c r="C90" s="5"/>
      <c r="D90" s="5"/>
      <c r="E90" s="5"/>
      <c r="F90" s="5"/>
      <c r="G90" s="5"/>
      <c r="H90" s="5"/>
      <c r="I90" s="5"/>
      <c r="J90" s="5"/>
    </row>
    <row r="91" spans="1:10" x14ac:dyDescent="0.4">
      <c r="A91" s="5"/>
      <c r="B91" s="5"/>
      <c r="C91" s="5"/>
      <c r="D91" s="5"/>
      <c r="E91" s="5"/>
      <c r="F91" s="5"/>
      <c r="G91" s="5"/>
      <c r="H91" s="5"/>
      <c r="I91" s="5"/>
      <c r="J91" s="5"/>
    </row>
    <row r="92" spans="1:10" x14ac:dyDescent="0.4">
      <c r="A92" s="5"/>
      <c r="B92" s="5"/>
      <c r="C92" s="5"/>
      <c r="D92" s="5"/>
      <c r="E92" s="5"/>
      <c r="F92" s="5"/>
      <c r="G92" s="5"/>
      <c r="H92" s="5"/>
      <c r="I92" s="5"/>
      <c r="J92" s="5"/>
    </row>
    <row r="93" spans="1:10" x14ac:dyDescent="0.4">
      <c r="A93" s="5"/>
      <c r="B93" s="5"/>
      <c r="C93" s="5"/>
      <c r="D93" s="5"/>
      <c r="E93" s="5"/>
      <c r="F93" s="5"/>
      <c r="G93" s="5"/>
      <c r="H93" s="5"/>
      <c r="I93" s="5"/>
      <c r="J93" s="5"/>
    </row>
    <row r="94" spans="1:10" x14ac:dyDescent="0.4">
      <c r="A94" s="5"/>
      <c r="B94" s="5"/>
      <c r="C94" s="5"/>
      <c r="D94" s="5"/>
      <c r="E94" s="5"/>
      <c r="F94" s="5"/>
      <c r="G94" s="5"/>
      <c r="H94" s="5"/>
      <c r="I94" s="5"/>
      <c r="J94" s="5"/>
    </row>
    <row r="95" spans="1:10" x14ac:dyDescent="0.4">
      <c r="A95" s="5"/>
      <c r="B95" s="5"/>
      <c r="C95" s="5"/>
      <c r="D95" s="5"/>
      <c r="E95" s="5"/>
      <c r="F95" s="5"/>
      <c r="G95" s="5"/>
      <c r="H95" s="5"/>
      <c r="I95" s="5"/>
      <c r="J95" s="5"/>
    </row>
    <row r="96" spans="1:10" x14ac:dyDescent="0.4">
      <c r="A96" s="5"/>
      <c r="B96" s="5"/>
      <c r="C96" s="5"/>
      <c r="D96" s="5"/>
      <c r="E96" s="5"/>
      <c r="F96" s="5"/>
      <c r="G96" s="5"/>
      <c r="H96" s="5"/>
      <c r="I96" s="5"/>
      <c r="J96" s="5"/>
    </row>
    <row r="97" spans="1:10" x14ac:dyDescent="0.4">
      <c r="A97" s="5"/>
      <c r="B97" s="5"/>
      <c r="C97" s="5"/>
      <c r="D97" s="5"/>
      <c r="E97" s="5"/>
      <c r="F97" s="5"/>
      <c r="G97" s="5"/>
      <c r="H97" s="5"/>
      <c r="I97" s="5"/>
      <c r="J97" s="5"/>
    </row>
    <row r="98" spans="1:10" x14ac:dyDescent="0.4">
      <c r="A98" s="5"/>
      <c r="B98" s="5"/>
      <c r="C98" s="5"/>
      <c r="D98" s="5"/>
      <c r="E98" s="5"/>
      <c r="F98" s="5"/>
      <c r="G98" s="5"/>
      <c r="H98" s="5"/>
      <c r="I98" s="5"/>
      <c r="J98" s="5"/>
    </row>
    <row r="99" spans="1:10" x14ac:dyDescent="0.4">
      <c r="A99" s="5"/>
      <c r="B99" s="5"/>
      <c r="C99" s="5"/>
      <c r="D99" s="5"/>
      <c r="E99" s="5"/>
      <c r="F99" s="5"/>
      <c r="G99" s="5"/>
      <c r="H99" s="5"/>
      <c r="I99" s="5"/>
      <c r="J99" s="5"/>
    </row>
    <row r="100" spans="1:10" x14ac:dyDescent="0.4">
      <c r="A100" s="5"/>
      <c r="B100" s="5"/>
      <c r="C100" s="5"/>
      <c r="D100" s="5"/>
      <c r="E100" s="5"/>
      <c r="F100" s="5"/>
      <c r="G100" s="5"/>
      <c r="H100" s="5"/>
      <c r="I100" s="5"/>
      <c r="J100" s="5"/>
    </row>
    <row r="101" spans="1:10" x14ac:dyDescent="0.4">
      <c r="A101" s="5"/>
      <c r="B101" s="5"/>
      <c r="C101" s="5"/>
      <c r="D101" s="5"/>
      <c r="E101" s="5"/>
      <c r="F101" s="5"/>
      <c r="G101" s="5"/>
      <c r="H101" s="5"/>
      <c r="I101" s="5"/>
      <c r="J101" s="5"/>
    </row>
    <row r="102" spans="1:10" x14ac:dyDescent="0.4">
      <c r="A102" s="5"/>
      <c r="B102" s="5"/>
      <c r="C102" s="5"/>
      <c r="D102" s="5"/>
      <c r="E102" s="5"/>
      <c r="F102" s="5"/>
      <c r="G102" s="5"/>
      <c r="H102" s="5"/>
      <c r="I102" s="5"/>
      <c r="J102" s="5"/>
    </row>
    <row r="103" spans="1:10" x14ac:dyDescent="0.4">
      <c r="A103" s="5"/>
      <c r="B103" s="5"/>
      <c r="C103" s="5"/>
      <c r="D103" s="5"/>
      <c r="E103" s="5"/>
      <c r="F103" s="5"/>
      <c r="G103" s="5"/>
      <c r="H103" s="5"/>
      <c r="I103" s="5"/>
      <c r="J103" s="5"/>
    </row>
    <row r="104" spans="1:10" x14ac:dyDescent="0.4">
      <c r="A104" s="5"/>
      <c r="B104" s="5"/>
      <c r="C104" s="5"/>
      <c r="D104" s="5"/>
      <c r="E104" s="5"/>
      <c r="F104" s="5"/>
      <c r="G104" s="5"/>
      <c r="H104" s="5"/>
      <c r="I104" s="5"/>
      <c r="J104" s="5"/>
    </row>
    <row r="105" spans="1:10" x14ac:dyDescent="0.4">
      <c r="A105" s="5"/>
      <c r="B105" s="5"/>
      <c r="C105" s="5"/>
      <c r="D105" s="5"/>
      <c r="E105" s="5"/>
      <c r="F105" s="5"/>
      <c r="G105" s="5"/>
      <c r="H105" s="5"/>
      <c r="I105" s="5"/>
      <c r="J105" s="5"/>
    </row>
    <row r="106" spans="1:10" x14ac:dyDescent="0.4">
      <c r="A106" s="5"/>
      <c r="B106" s="5"/>
      <c r="C106" s="5"/>
      <c r="D106" s="5"/>
      <c r="E106" s="5"/>
      <c r="F106" s="5"/>
      <c r="G106" s="5"/>
      <c r="H106" s="5"/>
      <c r="I106" s="5"/>
      <c r="J106" s="5"/>
    </row>
    <row r="107" spans="1:10" x14ac:dyDescent="0.4">
      <c r="A107" s="5"/>
      <c r="B107" s="5"/>
      <c r="C107" s="5"/>
      <c r="D107" s="5"/>
      <c r="E107" s="5"/>
      <c r="F107" s="5"/>
      <c r="G107" s="5"/>
      <c r="H107" s="5"/>
      <c r="I107" s="5"/>
      <c r="J107" s="5"/>
    </row>
    <row r="108" spans="1:10" x14ac:dyDescent="0.4">
      <c r="A108" s="5"/>
      <c r="B108" s="5"/>
      <c r="C108" s="5"/>
      <c r="D108" s="5"/>
      <c r="E108" s="5"/>
      <c r="F108" s="5"/>
      <c r="G108" s="5"/>
      <c r="H108" s="5"/>
      <c r="I108" s="5"/>
      <c r="J108" s="5"/>
    </row>
    <row r="109" spans="1:10" x14ac:dyDescent="0.4">
      <c r="A109" s="5"/>
      <c r="B109" s="5"/>
      <c r="C109" s="5"/>
      <c r="D109" s="5"/>
      <c r="E109" s="5"/>
      <c r="F109" s="5"/>
      <c r="G109" s="5"/>
      <c r="H109" s="5"/>
      <c r="I109" s="5"/>
      <c r="J109" s="5"/>
    </row>
    <row r="110" spans="1:10" x14ac:dyDescent="0.4">
      <c r="A110" s="5"/>
      <c r="B110" s="5"/>
      <c r="C110" s="5"/>
      <c r="D110" s="5"/>
      <c r="E110" s="5"/>
      <c r="F110" s="5"/>
      <c r="G110" s="5"/>
      <c r="H110" s="5"/>
      <c r="I110" s="5"/>
      <c r="J110" s="5"/>
    </row>
    <row r="111" spans="1:10" x14ac:dyDescent="0.4">
      <c r="A111" s="5"/>
      <c r="B111" s="5"/>
      <c r="C111" s="5"/>
      <c r="D111" s="5"/>
      <c r="E111" s="5"/>
      <c r="F111" s="5"/>
      <c r="G111" s="5"/>
      <c r="H111" s="5"/>
      <c r="I111" s="5"/>
      <c r="J111" s="5"/>
    </row>
    <row r="112" spans="1:10" x14ac:dyDescent="0.4">
      <c r="A112" s="5"/>
      <c r="B112" s="5"/>
      <c r="C112" s="5"/>
      <c r="D112" s="5"/>
      <c r="E112" s="5"/>
      <c r="F112" s="5"/>
      <c r="G112" s="5"/>
      <c r="H112" s="5"/>
      <c r="I112" s="5"/>
      <c r="J112" s="5"/>
    </row>
    <row r="113" spans="1:10" x14ac:dyDescent="0.4">
      <c r="A113" s="5"/>
      <c r="B113" s="5"/>
      <c r="C113" s="5"/>
      <c r="D113" s="5"/>
      <c r="E113" s="5"/>
      <c r="F113" s="5"/>
      <c r="G113" s="5"/>
      <c r="H113" s="5"/>
      <c r="I113" s="5"/>
      <c r="J113" s="5"/>
    </row>
    <row r="114" spans="1:10" x14ac:dyDescent="0.4">
      <c r="A114" s="5"/>
      <c r="B114" s="5"/>
      <c r="C114" s="5"/>
      <c r="D114" s="5"/>
      <c r="E114" s="5"/>
      <c r="F114" s="5"/>
      <c r="G114" s="5"/>
      <c r="H114" s="5"/>
      <c r="I114" s="5"/>
      <c r="J114" s="5"/>
    </row>
    <row r="115" spans="1:10" x14ac:dyDescent="0.4">
      <c r="A115" s="5"/>
      <c r="B115" s="5"/>
      <c r="C115" s="5"/>
      <c r="D115" s="5"/>
      <c r="E115" s="5"/>
      <c r="F115" s="5"/>
      <c r="G115" s="5"/>
      <c r="H115" s="5"/>
      <c r="I115" s="5"/>
      <c r="J115" s="5"/>
    </row>
    <row r="116" spans="1:10" x14ac:dyDescent="0.4">
      <c r="A116" s="5"/>
      <c r="B116" s="5"/>
      <c r="C116" s="5"/>
      <c r="D116" s="5"/>
      <c r="E116" s="5"/>
      <c r="F116" s="5"/>
      <c r="G116" s="5"/>
      <c r="H116" s="5"/>
      <c r="I116" s="5"/>
      <c r="J116" s="5"/>
    </row>
    <row r="117" spans="1:10" x14ac:dyDescent="0.4">
      <c r="A117" s="5"/>
      <c r="B117" s="5"/>
      <c r="C117" s="5"/>
      <c r="D117" s="5"/>
      <c r="E117" s="5"/>
      <c r="F117" s="5"/>
      <c r="G117" s="5"/>
      <c r="H117" s="5"/>
      <c r="I117" s="5"/>
      <c r="J117" s="5"/>
    </row>
    <row r="118" spans="1:10" x14ac:dyDescent="0.4">
      <c r="A118" s="5"/>
      <c r="B118" s="5"/>
      <c r="C118" s="5"/>
      <c r="D118" s="5"/>
      <c r="E118" s="5"/>
      <c r="F118" s="5"/>
      <c r="G118" s="5"/>
      <c r="H118" s="5"/>
      <c r="I118" s="5"/>
      <c r="J118" s="5"/>
    </row>
    <row r="119" spans="1:10" x14ac:dyDescent="0.4">
      <c r="A119" s="5"/>
      <c r="B119" s="5"/>
      <c r="C119" s="5"/>
      <c r="D119" s="5"/>
      <c r="E119" s="5"/>
      <c r="F119" s="5"/>
      <c r="G119" s="5"/>
      <c r="H119" s="5"/>
      <c r="I119" s="5"/>
      <c r="J119" s="5"/>
    </row>
    <row r="120" spans="1:10" x14ac:dyDescent="0.4">
      <c r="A120" s="5"/>
      <c r="B120" s="5"/>
      <c r="C120" s="5"/>
      <c r="D120" s="5"/>
      <c r="E120" s="5"/>
      <c r="F120" s="5"/>
      <c r="G120" s="5"/>
      <c r="H120" s="5"/>
      <c r="I120" s="5"/>
      <c r="J120" s="5"/>
    </row>
    <row r="121" spans="1:10" x14ac:dyDescent="0.4">
      <c r="A121" s="5"/>
      <c r="B121" s="5"/>
      <c r="C121" s="5"/>
      <c r="D121" s="5"/>
      <c r="E121" s="5"/>
      <c r="F121" s="5"/>
      <c r="G121" s="5"/>
      <c r="H121" s="5"/>
      <c r="I121" s="5"/>
      <c r="J121" s="5"/>
    </row>
    <row r="122" spans="1:10" x14ac:dyDescent="0.4">
      <c r="A122" s="5"/>
      <c r="B122" s="5"/>
      <c r="C122" s="5"/>
      <c r="D122" s="5"/>
      <c r="E122" s="5"/>
      <c r="F122" s="5"/>
      <c r="G122" s="5"/>
      <c r="H122" s="5"/>
      <c r="I122" s="5"/>
      <c r="J122" s="5"/>
    </row>
    <row r="123" spans="1:10" x14ac:dyDescent="0.4">
      <c r="A123" s="5"/>
      <c r="B123" s="5"/>
      <c r="C123" s="5"/>
      <c r="D123" s="5"/>
      <c r="E123" s="5"/>
      <c r="F123" s="5"/>
      <c r="G123" s="5"/>
      <c r="H123" s="5"/>
      <c r="I123" s="5"/>
      <c r="J123" s="5"/>
    </row>
    <row r="124" spans="1:10" x14ac:dyDescent="0.4">
      <c r="A124" s="5"/>
      <c r="B124" s="5"/>
      <c r="C124" s="5"/>
      <c r="D124" s="5"/>
      <c r="E124" s="5"/>
      <c r="F124" s="5"/>
      <c r="G124" s="5"/>
      <c r="H124" s="5"/>
      <c r="I124" s="5"/>
      <c r="J124" s="5"/>
    </row>
    <row r="125" spans="1:10" x14ac:dyDescent="0.4">
      <c r="A125" s="5"/>
      <c r="B125" s="5"/>
      <c r="C125" s="5"/>
      <c r="D125" s="5"/>
      <c r="E125" s="5"/>
      <c r="F125" s="5"/>
      <c r="G125" s="5"/>
      <c r="H125" s="5"/>
      <c r="I125" s="5"/>
      <c r="J125" s="5"/>
    </row>
    <row r="126" spans="1:10" x14ac:dyDescent="0.4">
      <c r="A126" s="5"/>
      <c r="B126" s="5"/>
      <c r="C126" s="5"/>
      <c r="D126" s="5"/>
      <c r="E126" s="5"/>
      <c r="F126" s="5"/>
      <c r="G126" s="5"/>
      <c r="H126" s="5"/>
      <c r="I126" s="5"/>
      <c r="J126" s="5"/>
    </row>
    <row r="127" spans="1:10" x14ac:dyDescent="0.4">
      <c r="A127" s="5"/>
      <c r="B127" s="5"/>
      <c r="C127" s="5"/>
      <c r="D127" s="5"/>
      <c r="E127" s="5"/>
      <c r="F127" s="5"/>
      <c r="G127" s="5"/>
      <c r="H127" s="5"/>
      <c r="I127" s="5"/>
      <c r="J127" s="5"/>
    </row>
    <row r="128" spans="1:10" x14ac:dyDescent="0.4">
      <c r="A128" s="5"/>
      <c r="B128" s="5"/>
      <c r="C128" s="5"/>
      <c r="D128" s="5"/>
      <c r="E128" s="5"/>
      <c r="F128" s="5"/>
      <c r="G128" s="5"/>
      <c r="H128" s="5"/>
      <c r="I128" s="5"/>
      <c r="J128" s="5"/>
    </row>
    <row r="129" spans="1:10" x14ac:dyDescent="0.4">
      <c r="A129" s="5"/>
      <c r="B129" s="5"/>
      <c r="C129" s="5"/>
      <c r="D129" s="5"/>
      <c r="E129" s="5"/>
      <c r="F129" s="5"/>
      <c r="G129" s="5"/>
      <c r="H129" s="5"/>
      <c r="I129" s="5"/>
      <c r="J129" s="5"/>
    </row>
    <row r="130" spans="1:10" x14ac:dyDescent="0.4">
      <c r="A130" s="5"/>
      <c r="B130" s="5"/>
      <c r="C130" s="5"/>
      <c r="D130" s="5"/>
      <c r="E130" s="5"/>
      <c r="F130" s="5"/>
      <c r="G130" s="5"/>
      <c r="H130" s="5"/>
      <c r="I130" s="5"/>
      <c r="J130" s="5"/>
    </row>
  </sheetData>
  <mergeCells count="20">
    <mergeCell ref="M26:V26"/>
    <mergeCell ref="P18:V18"/>
    <mergeCell ref="A18:A19"/>
    <mergeCell ref="C6:I6"/>
    <mergeCell ref="D18:J18"/>
    <mergeCell ref="A6:A7"/>
    <mergeCell ref="B6:B7"/>
    <mergeCell ref="M6:M7"/>
    <mergeCell ref="A17:J17"/>
    <mergeCell ref="A26:J26"/>
    <mergeCell ref="M17:V17"/>
    <mergeCell ref="M18:M19"/>
    <mergeCell ref="N18:N19"/>
    <mergeCell ref="O18:O19"/>
    <mergeCell ref="A5:I5"/>
    <mergeCell ref="B18:B19"/>
    <mergeCell ref="C18:C19"/>
    <mergeCell ref="N6:N7"/>
    <mergeCell ref="O6:U6"/>
    <mergeCell ref="M5:U5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89BB1-9F2E-4E65-AC66-1C011815252E}">
  <sheetPr codeName="Sheet2"/>
  <dimension ref="A1:BD49"/>
  <sheetViews>
    <sheetView workbookViewId="0">
      <selection activeCell="B27" sqref="B27:AA27"/>
    </sheetView>
  </sheetViews>
  <sheetFormatPr defaultColWidth="11.09765625" defaultRowHeight="17.399999999999999" x14ac:dyDescent="0.4"/>
  <cols>
    <col min="1" max="27" width="11.09765625" style="4"/>
    <col min="28" max="29" width="5.59765625" style="4" customWidth="1"/>
    <col min="30" max="16384" width="11.09765625" style="4"/>
  </cols>
  <sheetData>
    <row r="1" spans="1:56" x14ac:dyDescent="0.4">
      <c r="A1" s="9" t="s">
        <v>45</v>
      </c>
    </row>
    <row r="2" spans="1:56" ht="25.2" x14ac:dyDescent="0.4">
      <c r="A2" s="47" t="s">
        <v>51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D2" s="47" t="s">
        <v>36</v>
      </c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</row>
    <row r="3" spans="1:56" x14ac:dyDescent="0.4">
      <c r="A3" s="7" t="s">
        <v>3</v>
      </c>
      <c r="B3" s="40" t="s">
        <v>46</v>
      </c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D3" s="7" t="s">
        <v>3</v>
      </c>
      <c r="AE3" s="40" t="s">
        <v>46</v>
      </c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</row>
    <row r="4" spans="1:56" x14ac:dyDescent="0.4">
      <c r="A4" s="7" t="s">
        <v>47</v>
      </c>
      <c r="C4" s="2">
        <v>0.3</v>
      </c>
      <c r="D4" s="2">
        <v>0.35</v>
      </c>
      <c r="E4" s="2">
        <v>0.4</v>
      </c>
      <c r="F4" s="2">
        <v>0.45</v>
      </c>
      <c r="G4" s="2">
        <v>0.5</v>
      </c>
      <c r="H4" s="2">
        <v>0.55000000000000004</v>
      </c>
      <c r="I4" s="2">
        <v>0.6</v>
      </c>
      <c r="J4" s="2">
        <v>0.65</v>
      </c>
      <c r="K4" s="2">
        <v>0.7</v>
      </c>
      <c r="L4" s="2">
        <v>0.75</v>
      </c>
      <c r="M4" s="2">
        <v>0.8</v>
      </c>
      <c r="N4" s="2">
        <v>0.85</v>
      </c>
      <c r="O4" s="2">
        <v>0.9</v>
      </c>
      <c r="P4" s="2">
        <v>0.95</v>
      </c>
      <c r="Q4" s="2">
        <v>1</v>
      </c>
      <c r="R4" s="2">
        <v>1.05</v>
      </c>
      <c r="S4" s="2">
        <v>1.1000000000000001</v>
      </c>
      <c r="T4" s="2">
        <v>1.1499999999999999</v>
      </c>
      <c r="U4" s="2">
        <v>1.2</v>
      </c>
      <c r="V4" s="2">
        <v>1.25</v>
      </c>
      <c r="W4" s="2">
        <v>1.3</v>
      </c>
      <c r="X4" s="2">
        <v>1.35</v>
      </c>
      <c r="Y4" s="2">
        <v>1.4</v>
      </c>
      <c r="Z4" s="2">
        <v>1.45</v>
      </c>
      <c r="AA4" s="2">
        <v>1.5</v>
      </c>
      <c r="AD4" s="7" t="s">
        <v>47</v>
      </c>
      <c r="AF4" s="2">
        <v>0.3</v>
      </c>
      <c r="AG4" s="2">
        <v>0.35</v>
      </c>
      <c r="AH4" s="2">
        <v>0.4</v>
      </c>
      <c r="AI4" s="2">
        <v>0.45</v>
      </c>
      <c r="AJ4" s="2">
        <v>0.5</v>
      </c>
      <c r="AK4" s="2">
        <v>0.55000000000000004</v>
      </c>
      <c r="AL4" s="2">
        <v>0.6</v>
      </c>
      <c r="AM4" s="2">
        <v>0.65</v>
      </c>
      <c r="AN4" s="2">
        <v>0.7</v>
      </c>
      <c r="AO4" s="2">
        <v>0.75</v>
      </c>
      <c r="AP4" s="2">
        <v>0.8</v>
      </c>
      <c r="AQ4" s="2">
        <v>0.85</v>
      </c>
      <c r="AR4" s="2">
        <v>0.9</v>
      </c>
      <c r="AS4" s="2">
        <v>0.95</v>
      </c>
      <c r="AT4" s="2">
        <v>1</v>
      </c>
      <c r="AU4" s="2">
        <v>1.05</v>
      </c>
      <c r="AV4" s="2">
        <v>1.1000000000000001</v>
      </c>
      <c r="AW4" s="2">
        <v>1.1499999999999999</v>
      </c>
      <c r="AX4" s="2">
        <v>1.2</v>
      </c>
      <c r="AY4" s="2">
        <v>1.25</v>
      </c>
      <c r="AZ4" s="2">
        <v>1.3</v>
      </c>
      <c r="BA4" s="2">
        <v>1.35</v>
      </c>
      <c r="BB4" s="2">
        <v>1.4</v>
      </c>
      <c r="BC4" s="2">
        <v>1.45</v>
      </c>
      <c r="BD4" s="2">
        <v>1.5</v>
      </c>
    </row>
    <row r="5" spans="1:56" x14ac:dyDescent="0.4">
      <c r="A5" s="40" t="s">
        <v>30</v>
      </c>
      <c r="B5" s="2">
        <v>8.3333299999999999E-2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D5" s="40" t="s">
        <v>30</v>
      </c>
      <c r="AE5" s="2">
        <v>8.3333299999999999E-2</v>
      </c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</row>
    <row r="6" spans="1:56" x14ac:dyDescent="0.4">
      <c r="A6" s="40"/>
      <c r="B6" s="2">
        <v>0.16666700000000001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D6" s="40"/>
      <c r="AE6" s="2">
        <v>0.16666700000000001</v>
      </c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</row>
    <row r="7" spans="1:56" x14ac:dyDescent="0.4">
      <c r="A7" s="40"/>
      <c r="B7" s="2">
        <v>0.25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D7" s="40"/>
      <c r="AE7" s="2">
        <v>0.25</v>
      </c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</row>
    <row r="8" spans="1:56" x14ac:dyDescent="0.4">
      <c r="A8" s="40"/>
      <c r="B8" s="2"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D8" s="40"/>
      <c r="AE8" s="2">
        <v>0.5</v>
      </c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</row>
    <row r="9" spans="1:56" x14ac:dyDescent="0.4">
      <c r="A9" s="40"/>
      <c r="B9" s="2">
        <v>0.75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D9" s="40"/>
      <c r="AE9" s="2">
        <v>0.75</v>
      </c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</row>
    <row r="10" spans="1:56" x14ac:dyDescent="0.4">
      <c r="A10" s="40"/>
      <c r="B10" s="2">
        <v>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D10" s="40"/>
      <c r="AE10" s="2">
        <v>1</v>
      </c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</row>
    <row r="11" spans="1:56" x14ac:dyDescent="0.4">
      <c r="A11" s="40"/>
      <c r="B11" s="2">
        <v>1.5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D11" s="40"/>
      <c r="AE11" s="2">
        <v>1.5</v>
      </c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</row>
    <row r="12" spans="1:56" x14ac:dyDescent="0.4">
      <c r="A12" s="40"/>
      <c r="B12" s="2">
        <v>2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D12" s="40"/>
      <c r="AE12" s="2">
        <v>2</v>
      </c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</row>
    <row r="13" spans="1:56" x14ac:dyDescent="0.4">
      <c r="A13" s="40"/>
      <c r="B13" s="2">
        <v>3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D13" s="40"/>
      <c r="AE13" s="2">
        <v>3</v>
      </c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</row>
    <row r="15" spans="1:56" x14ac:dyDescent="0.4">
      <c r="A15" s="7" t="s">
        <v>3</v>
      </c>
      <c r="B15" s="40" t="s">
        <v>46</v>
      </c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D15" s="7" t="s">
        <v>3</v>
      </c>
      <c r="AE15" s="40" t="s">
        <v>46</v>
      </c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</row>
    <row r="16" spans="1:56" x14ac:dyDescent="0.4">
      <c r="A16" s="7" t="s">
        <v>48</v>
      </c>
      <c r="C16" s="2">
        <v>0.3</v>
      </c>
      <c r="D16" s="2">
        <v>0.35</v>
      </c>
      <c r="E16" s="2">
        <v>0.4</v>
      </c>
      <c r="F16" s="2">
        <v>0.45</v>
      </c>
      <c r="G16" s="2">
        <v>0.5</v>
      </c>
      <c r="H16" s="2">
        <v>0.55000000000000004</v>
      </c>
      <c r="I16" s="2">
        <v>0.6</v>
      </c>
      <c r="J16" s="2">
        <v>0.65</v>
      </c>
      <c r="K16" s="2">
        <v>0.7</v>
      </c>
      <c r="L16" s="2">
        <v>0.75</v>
      </c>
      <c r="M16" s="2">
        <v>0.8</v>
      </c>
      <c r="N16" s="2">
        <v>0.85</v>
      </c>
      <c r="O16" s="2">
        <v>0.9</v>
      </c>
      <c r="P16" s="2">
        <v>0.95</v>
      </c>
      <c r="Q16" s="2">
        <v>1</v>
      </c>
      <c r="R16" s="2">
        <v>1.05</v>
      </c>
      <c r="S16" s="2">
        <v>1.1000000000000001</v>
      </c>
      <c r="T16" s="2">
        <v>1.1499999999999999</v>
      </c>
      <c r="U16" s="2">
        <v>1.2</v>
      </c>
      <c r="V16" s="2">
        <v>1.25</v>
      </c>
      <c r="W16" s="2">
        <v>1.3</v>
      </c>
      <c r="X16" s="2">
        <v>1.35</v>
      </c>
      <c r="Y16" s="2">
        <v>1.4</v>
      </c>
      <c r="Z16" s="2">
        <v>1.45</v>
      </c>
      <c r="AA16" s="2">
        <v>1.5</v>
      </c>
      <c r="AD16" s="7" t="s">
        <v>48</v>
      </c>
      <c r="AF16" s="2">
        <v>0.3</v>
      </c>
      <c r="AG16" s="2">
        <v>0.35</v>
      </c>
      <c r="AH16" s="2">
        <v>0.4</v>
      </c>
      <c r="AI16" s="2">
        <v>0.45</v>
      </c>
      <c r="AJ16" s="2">
        <v>0.5</v>
      </c>
      <c r="AK16" s="2">
        <v>0.55000000000000004</v>
      </c>
      <c r="AL16" s="2">
        <v>0.6</v>
      </c>
      <c r="AM16" s="2">
        <v>0.65</v>
      </c>
      <c r="AN16" s="2">
        <v>0.7</v>
      </c>
      <c r="AO16" s="2">
        <v>0.75</v>
      </c>
      <c r="AP16" s="2">
        <v>0.8</v>
      </c>
      <c r="AQ16" s="2">
        <v>0.85</v>
      </c>
      <c r="AR16" s="2">
        <v>0.9</v>
      </c>
      <c r="AS16" s="2">
        <v>0.95</v>
      </c>
      <c r="AT16" s="2">
        <v>1</v>
      </c>
      <c r="AU16" s="2">
        <v>1.05</v>
      </c>
      <c r="AV16" s="2">
        <v>1.1000000000000001</v>
      </c>
      <c r="AW16" s="2">
        <v>1.1499999999999999</v>
      </c>
      <c r="AX16" s="2">
        <v>1.2</v>
      </c>
      <c r="AY16" s="2">
        <v>1.25</v>
      </c>
      <c r="AZ16" s="2">
        <v>1.3</v>
      </c>
      <c r="BA16" s="2">
        <v>1.35</v>
      </c>
      <c r="BB16" s="2">
        <v>1.4</v>
      </c>
      <c r="BC16" s="2">
        <v>1.45</v>
      </c>
      <c r="BD16" s="2">
        <v>1.5</v>
      </c>
    </row>
    <row r="17" spans="1:56" x14ac:dyDescent="0.4">
      <c r="A17" s="40" t="s">
        <v>30</v>
      </c>
      <c r="B17" s="2">
        <v>8.3333299999999999E-2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D17" s="40" t="s">
        <v>30</v>
      </c>
      <c r="AE17" s="2">
        <v>8.3333299999999999E-2</v>
      </c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</row>
    <row r="18" spans="1:56" x14ac:dyDescent="0.4">
      <c r="A18" s="40"/>
      <c r="B18" s="2">
        <v>0.16666700000000001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D18" s="40"/>
      <c r="AE18" s="2">
        <v>0.16666700000000001</v>
      </c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</row>
    <row r="19" spans="1:56" x14ac:dyDescent="0.4">
      <c r="A19" s="40"/>
      <c r="B19" s="2">
        <v>0.25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D19" s="40"/>
      <c r="AE19" s="2">
        <v>0.25</v>
      </c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</row>
    <row r="20" spans="1:56" x14ac:dyDescent="0.4">
      <c r="A20" s="40"/>
      <c r="B20" s="2">
        <v>0.5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D20" s="40"/>
      <c r="AE20" s="2">
        <v>0.5</v>
      </c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</row>
    <row r="21" spans="1:56" x14ac:dyDescent="0.4">
      <c r="A21" s="40"/>
      <c r="B21" s="2">
        <v>0.75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D21" s="40"/>
      <c r="AE21" s="2">
        <v>0.75</v>
      </c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</row>
    <row r="22" spans="1:56" x14ac:dyDescent="0.4">
      <c r="A22" s="40"/>
      <c r="B22" s="2">
        <v>1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D22" s="40"/>
      <c r="AE22" s="2">
        <v>1</v>
      </c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</row>
    <row r="23" spans="1:56" x14ac:dyDescent="0.4">
      <c r="A23" s="40"/>
      <c r="B23" s="2">
        <v>1.5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D23" s="40"/>
      <c r="AE23" s="2">
        <v>1.5</v>
      </c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</row>
    <row r="24" spans="1:56" x14ac:dyDescent="0.4">
      <c r="A24" s="40"/>
      <c r="B24" s="2">
        <v>2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D24" s="40"/>
      <c r="AE24" s="2">
        <v>2</v>
      </c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</row>
    <row r="25" spans="1:56" x14ac:dyDescent="0.4">
      <c r="A25" s="40"/>
      <c r="B25" s="2">
        <v>3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D25" s="40"/>
      <c r="AE25" s="2">
        <v>3</v>
      </c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</row>
    <row r="27" spans="1:56" x14ac:dyDescent="0.4">
      <c r="A27" s="7" t="s">
        <v>3</v>
      </c>
      <c r="B27" s="40" t="s">
        <v>46</v>
      </c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D27" s="7" t="s">
        <v>3</v>
      </c>
      <c r="AE27" s="40" t="s">
        <v>46</v>
      </c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</row>
    <row r="28" spans="1:56" x14ac:dyDescent="0.4">
      <c r="A28" s="7" t="s">
        <v>49</v>
      </c>
      <c r="C28" s="2">
        <v>0.3</v>
      </c>
      <c r="D28" s="2">
        <v>0.35</v>
      </c>
      <c r="E28" s="2">
        <v>0.4</v>
      </c>
      <c r="F28" s="2">
        <v>0.45</v>
      </c>
      <c r="G28" s="2">
        <v>0.5</v>
      </c>
      <c r="H28" s="2">
        <v>0.55000000000000004</v>
      </c>
      <c r="I28" s="2">
        <v>0.6</v>
      </c>
      <c r="J28" s="2">
        <v>0.65</v>
      </c>
      <c r="K28" s="2">
        <v>0.7</v>
      </c>
      <c r="L28" s="2">
        <v>0.75</v>
      </c>
      <c r="M28" s="2">
        <v>0.8</v>
      </c>
      <c r="N28" s="2">
        <v>0.85</v>
      </c>
      <c r="O28" s="2">
        <v>0.9</v>
      </c>
      <c r="P28" s="2">
        <v>0.95</v>
      </c>
      <c r="Q28" s="2">
        <v>1</v>
      </c>
      <c r="R28" s="2">
        <v>1.05</v>
      </c>
      <c r="S28" s="2">
        <v>1.1000000000000001</v>
      </c>
      <c r="T28" s="2">
        <v>1.1499999999999999</v>
      </c>
      <c r="U28" s="2">
        <v>1.2</v>
      </c>
      <c r="V28" s="2">
        <v>1.25</v>
      </c>
      <c r="W28" s="2">
        <v>1.3</v>
      </c>
      <c r="X28" s="2">
        <v>1.35</v>
      </c>
      <c r="Y28" s="2">
        <v>1.4</v>
      </c>
      <c r="Z28" s="2">
        <v>1.45</v>
      </c>
      <c r="AA28" s="2">
        <v>1.5</v>
      </c>
      <c r="AD28" s="7" t="s">
        <v>49</v>
      </c>
      <c r="AF28" s="2">
        <v>0.3</v>
      </c>
      <c r="AG28" s="2">
        <v>0.35</v>
      </c>
      <c r="AH28" s="2">
        <v>0.4</v>
      </c>
      <c r="AI28" s="2">
        <v>0.45</v>
      </c>
      <c r="AJ28" s="2">
        <v>0.5</v>
      </c>
      <c r="AK28" s="2">
        <v>0.55000000000000004</v>
      </c>
      <c r="AL28" s="2">
        <v>0.6</v>
      </c>
      <c r="AM28" s="2">
        <v>0.65</v>
      </c>
      <c r="AN28" s="2">
        <v>0.7</v>
      </c>
      <c r="AO28" s="2">
        <v>0.75</v>
      </c>
      <c r="AP28" s="2">
        <v>0.8</v>
      </c>
      <c r="AQ28" s="2">
        <v>0.85</v>
      </c>
      <c r="AR28" s="2">
        <v>0.9</v>
      </c>
      <c r="AS28" s="2">
        <v>0.95</v>
      </c>
      <c r="AT28" s="2">
        <v>1</v>
      </c>
      <c r="AU28" s="2">
        <v>1.05</v>
      </c>
      <c r="AV28" s="2">
        <v>1.1000000000000001</v>
      </c>
      <c r="AW28" s="2">
        <v>1.1499999999999999</v>
      </c>
      <c r="AX28" s="2">
        <v>1.2</v>
      </c>
      <c r="AY28" s="2">
        <v>1.25</v>
      </c>
      <c r="AZ28" s="2">
        <v>1.3</v>
      </c>
      <c r="BA28" s="2">
        <v>1.35</v>
      </c>
      <c r="BB28" s="2">
        <v>1.4</v>
      </c>
      <c r="BC28" s="2">
        <v>1.45</v>
      </c>
      <c r="BD28" s="2">
        <v>1.5</v>
      </c>
    </row>
    <row r="29" spans="1:56" x14ac:dyDescent="0.4">
      <c r="A29" s="40" t="s">
        <v>30</v>
      </c>
      <c r="B29" s="2">
        <v>8.3333299999999999E-2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D29" s="40" t="s">
        <v>30</v>
      </c>
      <c r="AE29" s="2">
        <v>8.3333299999999999E-2</v>
      </c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</row>
    <row r="30" spans="1:56" x14ac:dyDescent="0.4">
      <c r="A30" s="40"/>
      <c r="B30" s="2">
        <v>0.16666700000000001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D30" s="40"/>
      <c r="AE30" s="2">
        <v>0.16666700000000001</v>
      </c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</row>
    <row r="31" spans="1:56" x14ac:dyDescent="0.4">
      <c r="A31" s="40"/>
      <c r="B31" s="2">
        <v>0.25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D31" s="40"/>
      <c r="AE31" s="2">
        <v>0.25</v>
      </c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</row>
    <row r="32" spans="1:56" x14ac:dyDescent="0.4">
      <c r="A32" s="40"/>
      <c r="B32" s="2">
        <v>0.5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D32" s="40"/>
      <c r="AE32" s="2">
        <v>0.5</v>
      </c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</row>
    <row r="33" spans="1:56" x14ac:dyDescent="0.4">
      <c r="A33" s="40"/>
      <c r="B33" s="2">
        <v>0.75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D33" s="40"/>
      <c r="AE33" s="2">
        <v>0.75</v>
      </c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</row>
    <row r="34" spans="1:56" x14ac:dyDescent="0.4">
      <c r="A34" s="40"/>
      <c r="B34" s="2">
        <v>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D34" s="40"/>
      <c r="AE34" s="2">
        <v>1</v>
      </c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</row>
    <row r="35" spans="1:56" x14ac:dyDescent="0.4">
      <c r="A35" s="40"/>
      <c r="B35" s="2">
        <v>1.5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D35" s="40"/>
      <c r="AE35" s="2">
        <v>1.5</v>
      </c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</row>
    <row r="36" spans="1:56" x14ac:dyDescent="0.4">
      <c r="A36" s="40"/>
      <c r="B36" s="2">
        <v>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D36" s="40"/>
      <c r="AE36" s="2">
        <v>2</v>
      </c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</row>
    <row r="37" spans="1:56" x14ac:dyDescent="0.4">
      <c r="A37" s="40"/>
      <c r="B37" s="2">
        <v>3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D37" s="40"/>
      <c r="AE37" s="2">
        <v>3</v>
      </c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</row>
    <row r="39" spans="1:56" x14ac:dyDescent="0.4">
      <c r="A39" s="7" t="s">
        <v>3</v>
      </c>
      <c r="B39" s="40" t="s">
        <v>46</v>
      </c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D39" s="7" t="s">
        <v>3</v>
      </c>
      <c r="AE39" s="40" t="s">
        <v>46</v>
      </c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</row>
    <row r="40" spans="1:56" x14ac:dyDescent="0.4">
      <c r="A40" s="7" t="s">
        <v>50</v>
      </c>
      <c r="C40" s="2">
        <v>0.3</v>
      </c>
      <c r="D40" s="2">
        <v>0.35</v>
      </c>
      <c r="E40" s="2">
        <v>0.4</v>
      </c>
      <c r="F40" s="2">
        <v>0.45</v>
      </c>
      <c r="G40" s="2">
        <v>0.5</v>
      </c>
      <c r="H40" s="2">
        <v>0.55000000000000004</v>
      </c>
      <c r="I40" s="2">
        <v>0.6</v>
      </c>
      <c r="J40" s="2">
        <v>0.65</v>
      </c>
      <c r="K40" s="2">
        <v>0.7</v>
      </c>
      <c r="L40" s="2">
        <v>0.75</v>
      </c>
      <c r="M40" s="2">
        <v>0.8</v>
      </c>
      <c r="N40" s="2">
        <v>0.85</v>
      </c>
      <c r="O40" s="2">
        <v>0.9</v>
      </c>
      <c r="P40" s="2">
        <v>0.95</v>
      </c>
      <c r="Q40" s="2">
        <v>1</v>
      </c>
      <c r="R40" s="2">
        <v>1.05</v>
      </c>
      <c r="S40" s="2">
        <v>1.1000000000000001</v>
      </c>
      <c r="T40" s="2">
        <v>1.1499999999999999</v>
      </c>
      <c r="U40" s="2">
        <v>1.2</v>
      </c>
      <c r="V40" s="2">
        <v>1.25</v>
      </c>
      <c r="W40" s="2">
        <v>1.3</v>
      </c>
      <c r="X40" s="2">
        <v>1.35</v>
      </c>
      <c r="Y40" s="2">
        <v>1.4</v>
      </c>
      <c r="Z40" s="2">
        <v>1.45</v>
      </c>
      <c r="AA40" s="2">
        <v>1.5</v>
      </c>
      <c r="AD40" s="7" t="s">
        <v>50</v>
      </c>
      <c r="AF40" s="2">
        <v>0.3</v>
      </c>
      <c r="AG40" s="2">
        <v>0.35</v>
      </c>
      <c r="AH40" s="2">
        <v>0.4</v>
      </c>
      <c r="AI40" s="2">
        <v>0.45</v>
      </c>
      <c r="AJ40" s="2">
        <v>0.5</v>
      </c>
      <c r="AK40" s="2">
        <v>0.55000000000000004</v>
      </c>
      <c r="AL40" s="2">
        <v>0.6</v>
      </c>
      <c r="AM40" s="2">
        <v>0.65</v>
      </c>
      <c r="AN40" s="2">
        <v>0.7</v>
      </c>
      <c r="AO40" s="2">
        <v>0.75</v>
      </c>
      <c r="AP40" s="2">
        <v>0.8</v>
      </c>
      <c r="AQ40" s="2">
        <v>0.85</v>
      </c>
      <c r="AR40" s="2">
        <v>0.9</v>
      </c>
      <c r="AS40" s="2">
        <v>0.95</v>
      </c>
      <c r="AT40" s="2">
        <v>1</v>
      </c>
      <c r="AU40" s="2">
        <v>1.05</v>
      </c>
      <c r="AV40" s="2">
        <v>1.1000000000000001</v>
      </c>
      <c r="AW40" s="2">
        <v>1.1499999999999999</v>
      </c>
      <c r="AX40" s="2">
        <v>1.2</v>
      </c>
      <c r="AY40" s="2">
        <v>1.25</v>
      </c>
      <c r="AZ40" s="2">
        <v>1.3</v>
      </c>
      <c r="BA40" s="2">
        <v>1.35</v>
      </c>
      <c r="BB40" s="2">
        <v>1.4</v>
      </c>
      <c r="BC40" s="2">
        <v>1.45</v>
      </c>
      <c r="BD40" s="2">
        <v>1.5</v>
      </c>
    </row>
    <row r="41" spans="1:56" x14ac:dyDescent="0.4">
      <c r="A41" s="40" t="s">
        <v>30</v>
      </c>
      <c r="B41" s="2">
        <v>8.3333299999999999E-2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D41" s="40" t="s">
        <v>30</v>
      </c>
      <c r="AE41" s="2">
        <v>8.3333299999999999E-2</v>
      </c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</row>
    <row r="42" spans="1:56" x14ac:dyDescent="0.4">
      <c r="A42" s="40"/>
      <c r="B42" s="2">
        <v>0.16666700000000001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D42" s="40"/>
      <c r="AE42" s="2">
        <v>0.16666700000000001</v>
      </c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</row>
    <row r="43" spans="1:56" x14ac:dyDescent="0.4">
      <c r="A43" s="40"/>
      <c r="B43" s="2">
        <v>0.25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D43" s="40"/>
      <c r="AE43" s="2">
        <v>0.25</v>
      </c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</row>
    <row r="44" spans="1:56" x14ac:dyDescent="0.4">
      <c r="A44" s="40"/>
      <c r="B44" s="2">
        <v>0.5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D44" s="40"/>
      <c r="AE44" s="2">
        <v>0.5</v>
      </c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</row>
    <row r="45" spans="1:56" x14ac:dyDescent="0.4">
      <c r="A45" s="40"/>
      <c r="B45" s="2">
        <v>0.75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D45" s="40"/>
      <c r="AE45" s="2">
        <v>0.75</v>
      </c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</row>
    <row r="46" spans="1:56" x14ac:dyDescent="0.4">
      <c r="A46" s="40"/>
      <c r="B46" s="2">
        <v>1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D46" s="40"/>
      <c r="AE46" s="2">
        <v>1</v>
      </c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</row>
    <row r="47" spans="1:56" x14ac:dyDescent="0.4">
      <c r="A47" s="40"/>
      <c r="B47" s="2">
        <v>1.5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D47" s="40"/>
      <c r="AE47" s="2">
        <v>1.5</v>
      </c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</row>
    <row r="48" spans="1:56" x14ac:dyDescent="0.4">
      <c r="A48" s="40"/>
      <c r="B48" s="2">
        <v>2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D48" s="40"/>
      <c r="AE48" s="2">
        <v>2</v>
      </c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</row>
    <row r="49" spans="1:56" x14ac:dyDescent="0.4">
      <c r="A49" s="40"/>
      <c r="B49" s="2">
        <v>3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D49" s="40"/>
      <c r="AE49" s="2">
        <v>3</v>
      </c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</row>
  </sheetData>
  <mergeCells count="18">
    <mergeCell ref="AE39:BD39"/>
    <mergeCell ref="AD41:AD49"/>
    <mergeCell ref="B39:AA39"/>
    <mergeCell ref="A41:A49"/>
    <mergeCell ref="A2:AA2"/>
    <mergeCell ref="AD2:BD2"/>
    <mergeCell ref="AE3:BD3"/>
    <mergeCell ref="AD5:AD13"/>
    <mergeCell ref="AE15:BD15"/>
    <mergeCell ref="AD17:AD25"/>
    <mergeCell ref="AE27:BD27"/>
    <mergeCell ref="AD29:AD37"/>
    <mergeCell ref="A5:A13"/>
    <mergeCell ref="B3:AA3"/>
    <mergeCell ref="B15:AA15"/>
    <mergeCell ref="A17:A25"/>
    <mergeCell ref="B27:AA27"/>
    <mergeCell ref="A29:A37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9AD18-A949-42AD-9247-73173E56372F}">
  <sheetPr codeName="Sheet4"/>
  <dimension ref="A1:T95"/>
  <sheetViews>
    <sheetView topLeftCell="C1" workbookViewId="0">
      <selection activeCell="K4" sqref="K4:T95"/>
    </sheetView>
  </sheetViews>
  <sheetFormatPr defaultRowHeight="17.399999999999999" x14ac:dyDescent="0.4"/>
  <cols>
    <col min="1" max="1" width="13.69921875" bestFit="1" customWidth="1"/>
    <col min="2" max="2" width="11.09765625" bestFit="1" customWidth="1"/>
    <col min="3" max="3" width="16.8984375" bestFit="1" customWidth="1"/>
    <col min="5" max="6" width="15.5" bestFit="1" customWidth="1"/>
    <col min="7" max="7" width="11.59765625" bestFit="1" customWidth="1"/>
  </cols>
  <sheetData>
    <row r="1" spans="1:20" x14ac:dyDescent="0.4">
      <c r="A1" s="13" t="s">
        <v>133</v>
      </c>
      <c r="B1" s="29">
        <v>45394</v>
      </c>
    </row>
    <row r="2" spans="1:20" x14ac:dyDescent="0.4">
      <c r="B2" s="30"/>
    </row>
    <row r="3" spans="1:20" x14ac:dyDescent="0.4">
      <c r="A3" s="31" t="s">
        <v>128</v>
      </c>
      <c r="E3" s="31" t="s">
        <v>129</v>
      </c>
      <c r="K3" t="s">
        <v>134</v>
      </c>
    </row>
    <row r="4" spans="1:20" x14ac:dyDescent="0.4">
      <c r="A4" s="28" t="s">
        <v>126</v>
      </c>
      <c r="B4" s="28" t="s">
        <v>127</v>
      </c>
      <c r="C4" s="28" t="s">
        <v>135</v>
      </c>
      <c r="E4" s="28" t="s">
        <v>130</v>
      </c>
      <c r="F4" s="28" t="s">
        <v>131</v>
      </c>
      <c r="G4" s="28" t="s">
        <v>132</v>
      </c>
      <c r="K4" s="48" t="s">
        <v>152</v>
      </c>
      <c r="L4" s="49"/>
      <c r="M4" s="49"/>
      <c r="N4" s="49"/>
      <c r="O4" s="49"/>
      <c r="P4" s="49"/>
      <c r="Q4" s="49"/>
      <c r="R4" s="49"/>
      <c r="S4" s="49"/>
      <c r="T4" s="49"/>
    </row>
    <row r="5" spans="1:20" x14ac:dyDescent="0.4">
      <c r="A5" s="13" t="s">
        <v>38</v>
      </c>
      <c r="B5" s="13" t="s">
        <v>78</v>
      </c>
      <c r="C5" s="13">
        <v>32.200000000000003</v>
      </c>
      <c r="E5" s="13" t="s">
        <v>38</v>
      </c>
      <c r="F5" s="13" t="s">
        <v>77</v>
      </c>
      <c r="G5" s="13">
        <v>0.32</v>
      </c>
      <c r="K5" s="49"/>
      <c r="L5" s="49"/>
      <c r="M5" s="49"/>
      <c r="N5" s="49"/>
      <c r="O5" s="49"/>
      <c r="P5" s="49"/>
      <c r="Q5" s="49"/>
      <c r="R5" s="49"/>
      <c r="S5" s="49"/>
      <c r="T5" s="49"/>
    </row>
    <row r="6" spans="1:20" x14ac:dyDescent="0.4">
      <c r="A6" s="13"/>
      <c r="B6" s="13"/>
      <c r="C6" s="13"/>
      <c r="E6" s="13"/>
      <c r="F6" s="13"/>
      <c r="G6" s="13"/>
      <c r="K6" s="49"/>
      <c r="L6" s="49"/>
      <c r="M6" s="49"/>
      <c r="N6" s="49"/>
      <c r="O6" s="49"/>
      <c r="P6" s="49"/>
      <c r="Q6" s="49"/>
      <c r="R6" s="49"/>
      <c r="S6" s="49"/>
      <c r="T6" s="49"/>
    </row>
    <row r="7" spans="1:20" x14ac:dyDescent="0.4">
      <c r="A7" s="13"/>
      <c r="B7" s="13"/>
      <c r="C7" s="13"/>
      <c r="E7" s="13"/>
      <c r="F7" s="13"/>
      <c r="G7" s="13"/>
      <c r="K7" s="49"/>
      <c r="L7" s="49"/>
      <c r="M7" s="49"/>
      <c r="N7" s="49"/>
      <c r="O7" s="49"/>
      <c r="P7" s="49"/>
      <c r="Q7" s="49"/>
      <c r="R7" s="49"/>
      <c r="S7" s="49"/>
      <c r="T7" s="49"/>
    </row>
    <row r="8" spans="1:20" x14ac:dyDescent="0.4">
      <c r="A8" s="13"/>
      <c r="B8" s="13"/>
      <c r="C8" s="13"/>
      <c r="E8" s="13"/>
      <c r="F8" s="13"/>
      <c r="G8" s="13"/>
      <c r="K8" s="49"/>
      <c r="L8" s="49"/>
      <c r="M8" s="49"/>
      <c r="N8" s="49"/>
      <c r="O8" s="49"/>
      <c r="P8" s="49"/>
      <c r="Q8" s="49"/>
      <c r="R8" s="49"/>
      <c r="S8" s="49"/>
      <c r="T8" s="49"/>
    </row>
    <row r="9" spans="1:20" x14ac:dyDescent="0.4">
      <c r="A9" s="13"/>
      <c r="B9" s="13"/>
      <c r="C9" s="13"/>
      <c r="E9" s="13"/>
      <c r="F9" s="13"/>
      <c r="G9" s="13"/>
      <c r="K9" s="49"/>
      <c r="L9" s="49"/>
      <c r="M9" s="49"/>
      <c r="N9" s="49"/>
      <c r="O9" s="49"/>
      <c r="P9" s="49"/>
      <c r="Q9" s="49"/>
      <c r="R9" s="49"/>
      <c r="S9" s="49"/>
      <c r="T9" s="49"/>
    </row>
    <row r="10" spans="1:20" x14ac:dyDescent="0.4">
      <c r="A10" s="13"/>
      <c r="B10" s="13"/>
      <c r="C10" s="13"/>
      <c r="E10" s="13"/>
      <c r="F10" s="13"/>
      <c r="G10" s="13"/>
      <c r="K10" s="49"/>
      <c r="L10" s="49"/>
      <c r="M10" s="49"/>
      <c r="N10" s="49"/>
      <c r="O10" s="49"/>
      <c r="P10" s="49"/>
      <c r="Q10" s="49"/>
      <c r="R10" s="49"/>
      <c r="S10" s="49"/>
      <c r="T10" s="49"/>
    </row>
    <row r="11" spans="1:20" x14ac:dyDescent="0.4">
      <c r="A11" s="13"/>
      <c r="B11" s="13"/>
      <c r="C11" s="13"/>
      <c r="E11" s="13"/>
      <c r="F11" s="13"/>
      <c r="G11" s="13"/>
      <c r="K11" s="49"/>
      <c r="L11" s="49"/>
      <c r="M11" s="49"/>
      <c r="N11" s="49"/>
      <c r="O11" s="49"/>
      <c r="P11" s="49"/>
      <c r="Q11" s="49"/>
      <c r="R11" s="49"/>
      <c r="S11" s="49"/>
      <c r="T11" s="49"/>
    </row>
    <row r="12" spans="1:20" x14ac:dyDescent="0.4">
      <c r="A12" s="13"/>
      <c r="B12" s="13"/>
      <c r="C12" s="13"/>
      <c r="E12" s="13"/>
      <c r="F12" s="13"/>
      <c r="G12" s="13"/>
      <c r="K12" s="49"/>
      <c r="L12" s="49"/>
      <c r="M12" s="49"/>
      <c r="N12" s="49"/>
      <c r="O12" s="49"/>
      <c r="P12" s="49"/>
      <c r="Q12" s="49"/>
      <c r="R12" s="49"/>
      <c r="S12" s="49"/>
      <c r="T12" s="49"/>
    </row>
    <row r="13" spans="1:20" x14ac:dyDescent="0.4">
      <c r="A13" s="13"/>
      <c r="B13" s="13"/>
      <c r="C13" s="13"/>
      <c r="E13" s="13"/>
      <c r="F13" s="13"/>
      <c r="G13" s="13"/>
      <c r="K13" s="49"/>
      <c r="L13" s="49"/>
      <c r="M13" s="49"/>
      <c r="N13" s="49"/>
      <c r="O13" s="49"/>
      <c r="P13" s="49"/>
      <c r="Q13" s="49"/>
      <c r="R13" s="49"/>
      <c r="S13" s="49"/>
      <c r="T13" s="49"/>
    </row>
    <row r="14" spans="1:20" x14ac:dyDescent="0.4">
      <c r="A14" s="13"/>
      <c r="B14" s="13"/>
      <c r="C14" s="13"/>
      <c r="E14" s="13"/>
      <c r="F14" s="13"/>
      <c r="G14" s="13"/>
      <c r="K14" s="49"/>
      <c r="L14" s="49"/>
      <c r="M14" s="49"/>
      <c r="N14" s="49"/>
      <c r="O14" s="49"/>
      <c r="P14" s="49"/>
      <c r="Q14" s="49"/>
      <c r="R14" s="49"/>
      <c r="S14" s="49"/>
      <c r="T14" s="49"/>
    </row>
    <row r="15" spans="1:20" x14ac:dyDescent="0.4">
      <c r="A15" s="13"/>
      <c r="B15" s="13"/>
      <c r="C15" s="13"/>
      <c r="E15" s="13"/>
      <c r="F15" s="13"/>
      <c r="G15" s="13"/>
      <c r="K15" s="49"/>
      <c r="L15" s="49"/>
      <c r="M15" s="49"/>
      <c r="N15" s="49"/>
      <c r="O15" s="49"/>
      <c r="P15" s="49"/>
      <c r="Q15" s="49"/>
      <c r="R15" s="49"/>
      <c r="S15" s="49"/>
      <c r="T15" s="49"/>
    </row>
    <row r="16" spans="1:20" x14ac:dyDescent="0.4">
      <c r="A16" s="13"/>
      <c r="B16" s="13"/>
      <c r="C16" s="13"/>
      <c r="E16" s="13"/>
      <c r="F16" s="13"/>
      <c r="G16" s="13"/>
      <c r="K16" s="49"/>
      <c r="L16" s="49"/>
      <c r="M16" s="49"/>
      <c r="N16" s="49"/>
      <c r="O16" s="49"/>
      <c r="P16" s="49"/>
      <c r="Q16" s="49"/>
      <c r="R16" s="49"/>
      <c r="S16" s="49"/>
      <c r="T16" s="49"/>
    </row>
    <row r="17" spans="1:20" x14ac:dyDescent="0.4">
      <c r="A17" s="13"/>
      <c r="B17" s="13"/>
      <c r="C17" s="13"/>
      <c r="E17" s="13"/>
      <c r="F17" s="13"/>
      <c r="G17" s="13"/>
      <c r="K17" s="49"/>
      <c r="L17" s="49"/>
      <c r="M17" s="49"/>
      <c r="N17" s="49"/>
      <c r="O17" s="49"/>
      <c r="P17" s="49"/>
      <c r="Q17" s="49"/>
      <c r="R17" s="49"/>
      <c r="S17" s="49"/>
      <c r="T17" s="49"/>
    </row>
    <row r="18" spans="1:20" x14ac:dyDescent="0.4">
      <c r="A18" s="13"/>
      <c r="B18" s="13"/>
      <c r="C18" s="13"/>
      <c r="E18" s="13"/>
      <c r="F18" s="13"/>
      <c r="G18" s="13"/>
      <c r="K18" s="49"/>
      <c r="L18" s="49"/>
      <c r="M18" s="49"/>
      <c r="N18" s="49"/>
      <c r="O18" s="49"/>
      <c r="P18" s="49"/>
      <c r="Q18" s="49"/>
      <c r="R18" s="49"/>
      <c r="S18" s="49"/>
      <c r="T18" s="49"/>
    </row>
    <row r="19" spans="1:20" x14ac:dyDescent="0.4">
      <c r="A19" s="13"/>
      <c r="B19" s="13"/>
      <c r="C19" s="13"/>
      <c r="E19" s="13"/>
      <c r="F19" s="13"/>
      <c r="G19" s="13"/>
      <c r="K19" s="49"/>
      <c r="L19" s="49"/>
      <c r="M19" s="49"/>
      <c r="N19" s="49"/>
      <c r="O19" s="49"/>
      <c r="P19" s="49"/>
      <c r="Q19" s="49"/>
      <c r="R19" s="49"/>
      <c r="S19" s="49"/>
      <c r="T19" s="49"/>
    </row>
    <row r="20" spans="1:20" x14ac:dyDescent="0.4">
      <c r="A20" s="13"/>
      <c r="B20" s="13"/>
      <c r="C20" s="13"/>
      <c r="E20" s="13"/>
      <c r="F20" s="13"/>
      <c r="G20" s="13"/>
      <c r="K20" s="49"/>
      <c r="L20" s="49"/>
      <c r="M20" s="49"/>
      <c r="N20" s="49"/>
      <c r="O20" s="49"/>
      <c r="P20" s="49"/>
      <c r="Q20" s="49"/>
      <c r="R20" s="49"/>
      <c r="S20" s="49"/>
      <c r="T20" s="49"/>
    </row>
    <row r="21" spans="1:20" x14ac:dyDescent="0.4">
      <c r="A21" s="13"/>
      <c r="B21" s="13"/>
      <c r="C21" s="13"/>
      <c r="E21" s="13"/>
      <c r="F21" s="13"/>
      <c r="G21" s="13"/>
      <c r="K21" s="49"/>
      <c r="L21" s="49"/>
      <c r="M21" s="49"/>
      <c r="N21" s="49"/>
      <c r="O21" s="49"/>
      <c r="P21" s="49"/>
      <c r="Q21" s="49"/>
      <c r="R21" s="49"/>
      <c r="S21" s="49"/>
      <c r="T21" s="49"/>
    </row>
    <row r="22" spans="1:20" x14ac:dyDescent="0.4">
      <c r="A22" s="13"/>
      <c r="B22" s="13"/>
      <c r="C22" s="13"/>
      <c r="E22" s="13"/>
      <c r="F22" s="13"/>
      <c r="G22" s="13"/>
      <c r="K22" s="49"/>
      <c r="L22" s="49"/>
      <c r="M22" s="49"/>
      <c r="N22" s="49"/>
      <c r="O22" s="49"/>
      <c r="P22" s="49"/>
      <c r="Q22" s="49"/>
      <c r="R22" s="49"/>
      <c r="S22" s="49"/>
      <c r="T22" s="49"/>
    </row>
    <row r="23" spans="1:20" x14ac:dyDescent="0.4">
      <c r="A23" s="13"/>
      <c r="B23" s="13"/>
      <c r="C23" s="13"/>
      <c r="E23" s="13"/>
      <c r="F23" s="13"/>
      <c r="G23" s="13"/>
      <c r="K23" s="49"/>
      <c r="L23" s="49"/>
      <c r="M23" s="49"/>
      <c r="N23" s="49"/>
      <c r="O23" s="49"/>
      <c r="P23" s="49"/>
      <c r="Q23" s="49"/>
      <c r="R23" s="49"/>
      <c r="S23" s="49"/>
      <c r="T23" s="49"/>
    </row>
    <row r="24" spans="1:20" x14ac:dyDescent="0.4">
      <c r="A24" s="13"/>
      <c r="B24" s="13"/>
      <c r="C24" s="13"/>
      <c r="E24" s="13"/>
      <c r="F24" s="13"/>
      <c r="G24" s="13"/>
      <c r="K24" s="49"/>
      <c r="L24" s="49"/>
      <c r="M24" s="49"/>
      <c r="N24" s="49"/>
      <c r="O24" s="49"/>
      <c r="P24" s="49"/>
      <c r="Q24" s="49"/>
      <c r="R24" s="49"/>
      <c r="S24" s="49"/>
      <c r="T24" s="49"/>
    </row>
    <row r="25" spans="1:20" x14ac:dyDescent="0.4">
      <c r="A25" s="13"/>
      <c r="B25" s="13"/>
      <c r="C25" s="13"/>
      <c r="E25" s="13"/>
      <c r="F25" s="13"/>
      <c r="G25" s="13"/>
      <c r="K25" s="49"/>
      <c r="L25" s="49"/>
      <c r="M25" s="49"/>
      <c r="N25" s="49"/>
      <c r="O25" s="49"/>
      <c r="P25" s="49"/>
      <c r="Q25" s="49"/>
      <c r="R25" s="49"/>
      <c r="S25" s="49"/>
      <c r="T25" s="49"/>
    </row>
    <row r="26" spans="1:20" x14ac:dyDescent="0.4">
      <c r="A26" s="13"/>
      <c r="B26" s="13"/>
      <c r="C26" s="13"/>
      <c r="E26" s="13"/>
      <c r="F26" s="13"/>
      <c r="G26" s="13"/>
      <c r="K26" s="49"/>
      <c r="L26" s="49"/>
      <c r="M26" s="49"/>
      <c r="N26" s="49"/>
      <c r="O26" s="49"/>
      <c r="P26" s="49"/>
      <c r="Q26" s="49"/>
      <c r="R26" s="49"/>
      <c r="S26" s="49"/>
      <c r="T26" s="49"/>
    </row>
    <row r="27" spans="1:20" x14ac:dyDescent="0.4">
      <c r="A27" s="13"/>
      <c r="B27" s="13"/>
      <c r="C27" s="13"/>
      <c r="E27" s="13"/>
      <c r="F27" s="13"/>
      <c r="G27" s="13"/>
      <c r="K27" s="49"/>
      <c r="L27" s="49"/>
      <c r="M27" s="49"/>
      <c r="N27" s="49"/>
      <c r="O27" s="49"/>
      <c r="P27" s="49"/>
      <c r="Q27" s="49"/>
      <c r="R27" s="49"/>
      <c r="S27" s="49"/>
      <c r="T27" s="49"/>
    </row>
    <row r="28" spans="1:20" x14ac:dyDescent="0.4">
      <c r="A28" s="13"/>
      <c r="B28" s="13"/>
      <c r="C28" s="13"/>
      <c r="E28" s="13"/>
      <c r="F28" s="13"/>
      <c r="G28" s="13"/>
      <c r="K28" s="49"/>
      <c r="L28" s="49"/>
      <c r="M28" s="49"/>
      <c r="N28" s="49"/>
      <c r="O28" s="49"/>
      <c r="P28" s="49"/>
      <c r="Q28" s="49"/>
      <c r="R28" s="49"/>
      <c r="S28" s="49"/>
      <c r="T28" s="49"/>
    </row>
    <row r="29" spans="1:20" x14ac:dyDescent="0.4">
      <c r="A29" s="13"/>
      <c r="B29" s="13"/>
      <c r="C29" s="13"/>
      <c r="E29" s="13"/>
      <c r="F29" s="13"/>
      <c r="G29" s="13"/>
      <c r="K29" s="49"/>
      <c r="L29" s="49"/>
      <c r="M29" s="49"/>
      <c r="N29" s="49"/>
      <c r="O29" s="49"/>
      <c r="P29" s="49"/>
      <c r="Q29" s="49"/>
      <c r="R29" s="49"/>
      <c r="S29" s="49"/>
      <c r="T29" s="49"/>
    </row>
    <row r="30" spans="1:20" x14ac:dyDescent="0.4">
      <c r="A30" s="13"/>
      <c r="B30" s="13"/>
      <c r="C30" s="13"/>
      <c r="E30" s="13"/>
      <c r="F30" s="13"/>
      <c r="G30" s="13"/>
      <c r="K30" s="49"/>
      <c r="L30" s="49"/>
      <c r="M30" s="49"/>
      <c r="N30" s="49"/>
      <c r="O30" s="49"/>
      <c r="P30" s="49"/>
      <c r="Q30" s="49"/>
      <c r="R30" s="49"/>
      <c r="S30" s="49"/>
      <c r="T30" s="49"/>
    </row>
    <row r="31" spans="1:20" x14ac:dyDescent="0.4">
      <c r="A31" s="13"/>
      <c r="B31" s="13"/>
      <c r="C31" s="13"/>
      <c r="E31" s="13"/>
      <c r="F31" s="13"/>
      <c r="G31" s="13"/>
      <c r="K31" s="49"/>
      <c r="L31" s="49"/>
      <c r="M31" s="49"/>
      <c r="N31" s="49"/>
      <c r="O31" s="49"/>
      <c r="P31" s="49"/>
      <c r="Q31" s="49"/>
      <c r="R31" s="49"/>
      <c r="S31" s="49"/>
      <c r="T31" s="49"/>
    </row>
    <row r="32" spans="1:20" x14ac:dyDescent="0.4">
      <c r="A32" s="13"/>
      <c r="B32" s="13"/>
      <c r="C32" s="13"/>
      <c r="E32" s="13"/>
      <c r="F32" s="13"/>
      <c r="G32" s="13"/>
      <c r="K32" s="49"/>
      <c r="L32" s="49"/>
      <c r="M32" s="49"/>
      <c r="N32" s="49"/>
      <c r="O32" s="49"/>
      <c r="P32" s="49"/>
      <c r="Q32" s="49"/>
      <c r="R32" s="49"/>
      <c r="S32" s="49"/>
      <c r="T32" s="49"/>
    </row>
    <row r="33" spans="1:20" x14ac:dyDescent="0.4">
      <c r="A33" s="13"/>
      <c r="B33" s="13"/>
      <c r="C33" s="13"/>
      <c r="E33" s="13"/>
      <c r="F33" s="13"/>
      <c r="G33" s="13"/>
      <c r="K33" s="49"/>
      <c r="L33" s="49"/>
      <c r="M33" s="49"/>
      <c r="N33" s="49"/>
      <c r="O33" s="49"/>
      <c r="P33" s="49"/>
      <c r="Q33" s="49"/>
      <c r="R33" s="49"/>
      <c r="S33" s="49"/>
      <c r="T33" s="49"/>
    </row>
    <row r="34" spans="1:20" x14ac:dyDescent="0.4">
      <c r="A34" s="13"/>
      <c r="B34" s="13"/>
      <c r="C34" s="13"/>
      <c r="E34" s="13"/>
      <c r="F34" s="13"/>
      <c r="G34" s="13"/>
      <c r="K34" s="49"/>
      <c r="L34" s="49"/>
      <c r="M34" s="49"/>
      <c r="N34" s="49"/>
      <c r="O34" s="49"/>
      <c r="P34" s="49"/>
      <c r="Q34" s="49"/>
      <c r="R34" s="49"/>
      <c r="S34" s="49"/>
      <c r="T34" s="49"/>
    </row>
    <row r="35" spans="1:20" x14ac:dyDescent="0.4">
      <c r="A35" s="13"/>
      <c r="B35" s="13"/>
      <c r="C35" s="13"/>
      <c r="E35" s="13"/>
      <c r="F35" s="13"/>
      <c r="G35" s="13"/>
      <c r="K35" s="49"/>
      <c r="L35" s="49"/>
      <c r="M35" s="49"/>
      <c r="N35" s="49"/>
      <c r="O35" s="49"/>
      <c r="P35" s="49"/>
      <c r="Q35" s="49"/>
      <c r="R35" s="49"/>
      <c r="S35" s="49"/>
      <c r="T35" s="49"/>
    </row>
    <row r="36" spans="1:20" x14ac:dyDescent="0.4">
      <c r="A36" s="13"/>
      <c r="B36" s="13"/>
      <c r="C36" s="13"/>
      <c r="E36" s="13"/>
      <c r="F36" s="13"/>
      <c r="G36" s="13"/>
      <c r="K36" s="49"/>
      <c r="L36" s="49"/>
      <c r="M36" s="49"/>
      <c r="N36" s="49"/>
      <c r="O36" s="49"/>
      <c r="P36" s="49"/>
      <c r="Q36" s="49"/>
      <c r="R36" s="49"/>
      <c r="S36" s="49"/>
      <c r="T36" s="49"/>
    </row>
    <row r="37" spans="1:20" x14ac:dyDescent="0.4">
      <c r="A37" s="13"/>
      <c r="B37" s="13"/>
      <c r="C37" s="13"/>
      <c r="E37" s="13"/>
      <c r="F37" s="13"/>
      <c r="G37" s="13"/>
      <c r="K37" s="49"/>
      <c r="L37" s="49"/>
      <c r="M37" s="49"/>
      <c r="N37" s="49"/>
      <c r="O37" s="49"/>
      <c r="P37" s="49"/>
      <c r="Q37" s="49"/>
      <c r="R37" s="49"/>
      <c r="S37" s="49"/>
      <c r="T37" s="49"/>
    </row>
    <row r="38" spans="1:20" x14ac:dyDescent="0.4">
      <c r="A38" s="13"/>
      <c r="B38" s="13"/>
      <c r="C38" s="13"/>
      <c r="E38" s="13"/>
      <c r="F38" s="13"/>
      <c r="G38" s="13"/>
      <c r="K38" s="49"/>
      <c r="L38" s="49"/>
      <c r="M38" s="49"/>
      <c r="N38" s="49"/>
      <c r="O38" s="49"/>
      <c r="P38" s="49"/>
      <c r="Q38" s="49"/>
      <c r="R38" s="49"/>
      <c r="S38" s="49"/>
      <c r="T38" s="49"/>
    </row>
    <row r="39" spans="1:20" x14ac:dyDescent="0.4">
      <c r="A39" s="13"/>
      <c r="B39" s="13"/>
      <c r="C39" s="13"/>
      <c r="E39" s="13"/>
      <c r="F39" s="13"/>
      <c r="G39" s="13"/>
      <c r="K39" s="49"/>
      <c r="L39" s="49"/>
      <c r="M39" s="49"/>
      <c r="N39" s="49"/>
      <c r="O39" s="49"/>
      <c r="P39" s="49"/>
      <c r="Q39" s="49"/>
      <c r="R39" s="49"/>
      <c r="S39" s="49"/>
      <c r="T39" s="49"/>
    </row>
    <row r="40" spans="1:20" x14ac:dyDescent="0.4">
      <c r="A40" s="13"/>
      <c r="B40" s="13"/>
      <c r="C40" s="13"/>
      <c r="E40" s="13"/>
      <c r="F40" s="13"/>
      <c r="G40" s="13"/>
      <c r="K40" s="49"/>
      <c r="L40" s="49"/>
      <c r="M40" s="49"/>
      <c r="N40" s="49"/>
      <c r="O40" s="49"/>
      <c r="P40" s="49"/>
      <c r="Q40" s="49"/>
      <c r="R40" s="49"/>
      <c r="S40" s="49"/>
      <c r="T40" s="49"/>
    </row>
    <row r="41" spans="1:20" x14ac:dyDescent="0.4">
      <c r="A41" s="13"/>
      <c r="B41" s="13"/>
      <c r="C41" s="13"/>
      <c r="E41" s="13"/>
      <c r="F41" s="13"/>
      <c r="G41" s="13"/>
      <c r="K41" s="49"/>
      <c r="L41" s="49"/>
      <c r="M41" s="49"/>
      <c r="N41" s="49"/>
      <c r="O41" s="49"/>
      <c r="P41" s="49"/>
      <c r="Q41" s="49"/>
      <c r="R41" s="49"/>
      <c r="S41" s="49"/>
      <c r="T41" s="49"/>
    </row>
    <row r="42" spans="1:20" x14ac:dyDescent="0.4">
      <c r="A42" s="13"/>
      <c r="B42" s="13"/>
      <c r="C42" s="13"/>
      <c r="E42" s="13"/>
      <c r="F42" s="13"/>
      <c r="G42" s="13"/>
      <c r="K42" s="49"/>
      <c r="L42" s="49"/>
      <c r="M42" s="49"/>
      <c r="N42" s="49"/>
      <c r="O42" s="49"/>
      <c r="P42" s="49"/>
      <c r="Q42" s="49"/>
      <c r="R42" s="49"/>
      <c r="S42" s="49"/>
      <c r="T42" s="49"/>
    </row>
    <row r="43" spans="1:20" x14ac:dyDescent="0.4">
      <c r="A43" s="13"/>
      <c r="B43" s="13"/>
      <c r="C43" s="13"/>
      <c r="E43" s="13"/>
      <c r="F43" s="13"/>
      <c r="G43" s="13"/>
      <c r="K43" s="49"/>
      <c r="L43" s="49"/>
      <c r="M43" s="49"/>
      <c r="N43" s="49"/>
      <c r="O43" s="49"/>
      <c r="P43" s="49"/>
      <c r="Q43" s="49"/>
      <c r="R43" s="49"/>
      <c r="S43" s="49"/>
      <c r="T43" s="49"/>
    </row>
    <row r="44" spans="1:20" x14ac:dyDescent="0.4">
      <c r="A44" s="13"/>
      <c r="B44" s="13"/>
      <c r="C44" s="13"/>
      <c r="E44" s="13"/>
      <c r="F44" s="13"/>
      <c r="G44" s="13"/>
      <c r="K44" s="49"/>
      <c r="L44" s="49"/>
      <c r="M44" s="49"/>
      <c r="N44" s="49"/>
      <c r="O44" s="49"/>
      <c r="P44" s="49"/>
      <c r="Q44" s="49"/>
      <c r="R44" s="49"/>
      <c r="S44" s="49"/>
      <c r="T44" s="49"/>
    </row>
    <row r="45" spans="1:20" x14ac:dyDescent="0.4">
      <c r="A45" s="13"/>
      <c r="B45" s="13"/>
      <c r="C45" s="13"/>
      <c r="E45" s="13"/>
      <c r="F45" s="13"/>
      <c r="G45" s="13"/>
      <c r="K45" s="49"/>
      <c r="L45" s="49"/>
      <c r="M45" s="49"/>
      <c r="N45" s="49"/>
      <c r="O45" s="49"/>
      <c r="P45" s="49"/>
      <c r="Q45" s="49"/>
      <c r="R45" s="49"/>
      <c r="S45" s="49"/>
      <c r="T45" s="49"/>
    </row>
    <row r="46" spans="1:20" x14ac:dyDescent="0.4">
      <c r="A46" s="13"/>
      <c r="B46" s="13"/>
      <c r="C46" s="13"/>
      <c r="E46" s="13"/>
      <c r="F46" s="13"/>
      <c r="G46" s="13"/>
      <c r="K46" s="49"/>
      <c r="L46" s="49"/>
      <c r="M46" s="49"/>
      <c r="N46" s="49"/>
      <c r="O46" s="49"/>
      <c r="P46" s="49"/>
      <c r="Q46" s="49"/>
      <c r="R46" s="49"/>
      <c r="S46" s="49"/>
      <c r="T46" s="49"/>
    </row>
    <row r="47" spans="1:20" x14ac:dyDescent="0.4">
      <c r="A47" s="13"/>
      <c r="B47" s="13"/>
      <c r="C47" s="13"/>
      <c r="E47" s="13"/>
      <c r="F47" s="13"/>
      <c r="G47" s="13"/>
      <c r="K47" s="49"/>
      <c r="L47" s="49"/>
      <c r="M47" s="49"/>
      <c r="N47" s="49"/>
      <c r="O47" s="49"/>
      <c r="P47" s="49"/>
      <c r="Q47" s="49"/>
      <c r="R47" s="49"/>
      <c r="S47" s="49"/>
      <c r="T47" s="49"/>
    </row>
    <row r="48" spans="1:20" x14ac:dyDescent="0.4">
      <c r="A48" s="13"/>
      <c r="B48" s="13"/>
      <c r="C48" s="13"/>
      <c r="E48" s="13"/>
      <c r="F48" s="13"/>
      <c r="G48" s="13"/>
      <c r="K48" s="49"/>
      <c r="L48" s="49"/>
      <c r="M48" s="49"/>
      <c r="N48" s="49"/>
      <c r="O48" s="49"/>
      <c r="P48" s="49"/>
      <c r="Q48" s="49"/>
      <c r="R48" s="49"/>
      <c r="S48" s="49"/>
      <c r="T48" s="49"/>
    </row>
    <row r="49" spans="1:20" x14ac:dyDescent="0.4">
      <c r="A49" s="13"/>
      <c r="B49" s="13"/>
      <c r="C49" s="13"/>
      <c r="E49" s="13"/>
      <c r="F49" s="13"/>
      <c r="G49" s="13"/>
      <c r="K49" s="49"/>
      <c r="L49" s="49"/>
      <c r="M49" s="49"/>
      <c r="N49" s="49"/>
      <c r="O49" s="49"/>
      <c r="P49" s="49"/>
      <c r="Q49" s="49"/>
      <c r="R49" s="49"/>
      <c r="S49" s="49"/>
      <c r="T49" s="49"/>
    </row>
    <row r="50" spans="1:20" x14ac:dyDescent="0.4">
      <c r="A50" s="13"/>
      <c r="B50" s="13"/>
      <c r="C50" s="13"/>
      <c r="E50" s="13"/>
      <c r="F50" s="13"/>
      <c r="G50" s="13"/>
      <c r="K50" s="49"/>
      <c r="L50" s="49"/>
      <c r="M50" s="49"/>
      <c r="N50" s="49"/>
      <c r="O50" s="49"/>
      <c r="P50" s="49"/>
      <c r="Q50" s="49"/>
      <c r="R50" s="49"/>
      <c r="S50" s="49"/>
      <c r="T50" s="49"/>
    </row>
    <row r="51" spans="1:20" x14ac:dyDescent="0.4">
      <c r="A51" s="13"/>
      <c r="B51" s="13"/>
      <c r="C51" s="13"/>
      <c r="E51" s="13"/>
      <c r="F51" s="13"/>
      <c r="G51" s="13"/>
      <c r="K51" s="49"/>
      <c r="L51" s="49"/>
      <c r="M51" s="49"/>
      <c r="N51" s="49"/>
      <c r="O51" s="49"/>
      <c r="P51" s="49"/>
      <c r="Q51" s="49"/>
      <c r="R51" s="49"/>
      <c r="S51" s="49"/>
      <c r="T51" s="49"/>
    </row>
    <row r="52" spans="1:20" x14ac:dyDescent="0.4">
      <c r="A52" s="13"/>
      <c r="B52" s="13"/>
      <c r="C52" s="13"/>
      <c r="E52" s="13"/>
      <c r="F52" s="13"/>
      <c r="G52" s="13"/>
      <c r="K52" s="49"/>
      <c r="L52" s="49"/>
      <c r="M52" s="49"/>
      <c r="N52" s="49"/>
      <c r="O52" s="49"/>
      <c r="P52" s="49"/>
      <c r="Q52" s="49"/>
      <c r="R52" s="49"/>
      <c r="S52" s="49"/>
      <c r="T52" s="49"/>
    </row>
    <row r="53" spans="1:20" x14ac:dyDescent="0.4">
      <c r="A53" s="13"/>
      <c r="B53" s="13"/>
      <c r="C53" s="13"/>
      <c r="E53" s="13"/>
      <c r="F53" s="13"/>
      <c r="G53" s="13"/>
      <c r="K53" s="49"/>
      <c r="L53" s="49"/>
      <c r="M53" s="49"/>
      <c r="N53" s="49"/>
      <c r="O53" s="49"/>
      <c r="P53" s="49"/>
      <c r="Q53" s="49"/>
      <c r="R53" s="49"/>
      <c r="S53" s="49"/>
      <c r="T53" s="49"/>
    </row>
    <row r="54" spans="1:20" x14ac:dyDescent="0.4">
      <c r="A54" s="13"/>
      <c r="B54" s="13"/>
      <c r="C54" s="13"/>
      <c r="E54" s="13"/>
      <c r="F54" s="13"/>
      <c r="G54" s="13"/>
      <c r="K54" s="49"/>
      <c r="L54" s="49"/>
      <c r="M54" s="49"/>
      <c r="N54" s="49"/>
      <c r="O54" s="49"/>
      <c r="P54" s="49"/>
      <c r="Q54" s="49"/>
      <c r="R54" s="49"/>
      <c r="S54" s="49"/>
      <c r="T54" s="49"/>
    </row>
    <row r="55" spans="1:20" x14ac:dyDescent="0.4">
      <c r="A55" s="13"/>
      <c r="B55" s="13"/>
      <c r="C55" s="13"/>
      <c r="E55" s="13"/>
      <c r="F55" s="13"/>
      <c r="G55" s="13"/>
      <c r="K55" s="49"/>
      <c r="L55" s="49"/>
      <c r="M55" s="49"/>
      <c r="N55" s="49"/>
      <c r="O55" s="49"/>
      <c r="P55" s="49"/>
      <c r="Q55" s="49"/>
      <c r="R55" s="49"/>
      <c r="S55" s="49"/>
      <c r="T55" s="49"/>
    </row>
    <row r="56" spans="1:20" x14ac:dyDescent="0.4">
      <c r="A56" s="13"/>
      <c r="B56" s="13"/>
      <c r="C56" s="13"/>
      <c r="E56" s="13"/>
      <c r="F56" s="13"/>
      <c r="G56" s="13"/>
      <c r="K56" s="49"/>
      <c r="L56" s="49"/>
      <c r="M56" s="49"/>
      <c r="N56" s="49"/>
      <c r="O56" s="49"/>
      <c r="P56" s="49"/>
      <c r="Q56" s="49"/>
      <c r="R56" s="49"/>
      <c r="S56" s="49"/>
      <c r="T56" s="49"/>
    </row>
    <row r="57" spans="1:20" x14ac:dyDescent="0.4">
      <c r="A57" s="13"/>
      <c r="B57" s="13"/>
      <c r="C57" s="13"/>
      <c r="E57" s="13"/>
      <c r="F57" s="13"/>
      <c r="G57" s="13"/>
      <c r="K57" s="49"/>
      <c r="L57" s="49"/>
      <c r="M57" s="49"/>
      <c r="N57" s="49"/>
      <c r="O57" s="49"/>
      <c r="P57" s="49"/>
      <c r="Q57" s="49"/>
      <c r="R57" s="49"/>
      <c r="S57" s="49"/>
      <c r="T57" s="49"/>
    </row>
    <row r="58" spans="1:20" x14ac:dyDescent="0.4">
      <c r="A58" s="13"/>
      <c r="B58" s="13"/>
      <c r="C58" s="13"/>
      <c r="E58" s="13"/>
      <c r="F58" s="13"/>
      <c r="G58" s="13"/>
      <c r="K58" s="49"/>
      <c r="L58" s="49"/>
      <c r="M58" s="49"/>
      <c r="N58" s="49"/>
      <c r="O58" s="49"/>
      <c r="P58" s="49"/>
      <c r="Q58" s="49"/>
      <c r="R58" s="49"/>
      <c r="S58" s="49"/>
      <c r="T58" s="49"/>
    </row>
    <row r="59" spans="1:20" x14ac:dyDescent="0.4">
      <c r="A59" s="13"/>
      <c r="B59" s="13"/>
      <c r="C59" s="13"/>
      <c r="E59" s="13"/>
      <c r="F59" s="13"/>
      <c r="G59" s="13"/>
      <c r="K59" s="49"/>
      <c r="L59" s="49"/>
      <c r="M59" s="49"/>
      <c r="N59" s="49"/>
      <c r="O59" s="49"/>
      <c r="P59" s="49"/>
      <c r="Q59" s="49"/>
      <c r="R59" s="49"/>
      <c r="S59" s="49"/>
      <c r="T59" s="49"/>
    </row>
    <row r="60" spans="1:20" x14ac:dyDescent="0.4">
      <c r="A60" s="13"/>
      <c r="B60" s="13"/>
      <c r="C60" s="13"/>
      <c r="E60" s="13"/>
      <c r="F60" s="13"/>
      <c r="G60" s="13"/>
      <c r="K60" s="49"/>
      <c r="L60" s="49"/>
      <c r="M60" s="49"/>
      <c r="N60" s="49"/>
      <c r="O60" s="49"/>
      <c r="P60" s="49"/>
      <c r="Q60" s="49"/>
      <c r="R60" s="49"/>
      <c r="S60" s="49"/>
      <c r="T60" s="49"/>
    </row>
    <row r="61" spans="1:20" x14ac:dyDescent="0.4">
      <c r="A61" s="13"/>
      <c r="B61" s="13"/>
      <c r="C61" s="13"/>
      <c r="E61" s="13"/>
      <c r="F61" s="13"/>
      <c r="G61" s="13"/>
      <c r="K61" s="49"/>
      <c r="L61" s="49"/>
      <c r="M61" s="49"/>
      <c r="N61" s="49"/>
      <c r="O61" s="49"/>
      <c r="P61" s="49"/>
      <c r="Q61" s="49"/>
      <c r="R61" s="49"/>
      <c r="S61" s="49"/>
      <c r="T61" s="49"/>
    </row>
    <row r="62" spans="1:20" x14ac:dyDescent="0.4">
      <c r="A62" s="13"/>
      <c r="B62" s="13"/>
      <c r="C62" s="13"/>
      <c r="E62" s="13"/>
      <c r="F62" s="13"/>
      <c r="G62" s="13"/>
      <c r="K62" s="49"/>
      <c r="L62" s="49"/>
      <c r="M62" s="49"/>
      <c r="N62" s="49"/>
      <c r="O62" s="49"/>
      <c r="P62" s="49"/>
      <c r="Q62" s="49"/>
      <c r="R62" s="49"/>
      <c r="S62" s="49"/>
      <c r="T62" s="49"/>
    </row>
    <row r="63" spans="1:20" x14ac:dyDescent="0.4">
      <c r="A63" s="13"/>
      <c r="B63" s="13"/>
      <c r="C63" s="13"/>
      <c r="E63" s="13"/>
      <c r="F63" s="13"/>
      <c r="G63" s="13"/>
      <c r="K63" s="49"/>
      <c r="L63" s="49"/>
      <c r="M63" s="49"/>
      <c r="N63" s="49"/>
      <c r="O63" s="49"/>
      <c r="P63" s="49"/>
      <c r="Q63" s="49"/>
      <c r="R63" s="49"/>
      <c r="S63" s="49"/>
      <c r="T63" s="49"/>
    </row>
    <row r="64" spans="1:20" x14ac:dyDescent="0.4">
      <c r="A64" s="13"/>
      <c r="B64" s="13"/>
      <c r="C64" s="13"/>
      <c r="E64" s="13"/>
      <c r="F64" s="13"/>
      <c r="G64" s="13"/>
      <c r="K64" s="49"/>
      <c r="L64" s="49"/>
      <c r="M64" s="49"/>
      <c r="N64" s="49"/>
      <c r="O64" s="49"/>
      <c r="P64" s="49"/>
      <c r="Q64" s="49"/>
      <c r="R64" s="49"/>
      <c r="S64" s="49"/>
      <c r="T64" s="49"/>
    </row>
    <row r="65" spans="1:20" x14ac:dyDescent="0.4">
      <c r="A65" s="13"/>
      <c r="B65" s="13"/>
      <c r="C65" s="13"/>
      <c r="E65" s="13"/>
      <c r="F65" s="13"/>
      <c r="G65" s="13"/>
      <c r="K65" s="49"/>
      <c r="L65" s="49"/>
      <c r="M65" s="49"/>
      <c r="N65" s="49"/>
      <c r="O65" s="49"/>
      <c r="P65" s="49"/>
      <c r="Q65" s="49"/>
      <c r="R65" s="49"/>
      <c r="S65" s="49"/>
      <c r="T65" s="49"/>
    </row>
    <row r="66" spans="1:20" x14ac:dyDescent="0.4">
      <c r="A66" s="13"/>
      <c r="B66" s="13"/>
      <c r="C66" s="13"/>
      <c r="E66" s="13"/>
      <c r="F66" s="13"/>
      <c r="G66" s="13"/>
      <c r="K66" s="49"/>
      <c r="L66" s="49"/>
      <c r="M66" s="49"/>
      <c r="N66" s="49"/>
      <c r="O66" s="49"/>
      <c r="P66" s="49"/>
      <c r="Q66" s="49"/>
      <c r="R66" s="49"/>
      <c r="S66" s="49"/>
      <c r="T66" s="49"/>
    </row>
    <row r="67" spans="1:20" x14ac:dyDescent="0.4">
      <c r="A67" s="13"/>
      <c r="B67" s="13"/>
      <c r="C67" s="13"/>
      <c r="E67" s="13"/>
      <c r="F67" s="13"/>
      <c r="G67" s="13"/>
      <c r="K67" s="49"/>
      <c r="L67" s="49"/>
      <c r="M67" s="49"/>
      <c r="N67" s="49"/>
      <c r="O67" s="49"/>
      <c r="P67" s="49"/>
      <c r="Q67" s="49"/>
      <c r="R67" s="49"/>
      <c r="S67" s="49"/>
      <c r="T67" s="49"/>
    </row>
    <row r="68" spans="1:20" x14ac:dyDescent="0.4">
      <c r="A68" s="13"/>
      <c r="B68" s="13"/>
      <c r="C68" s="13"/>
      <c r="E68" s="13"/>
      <c r="F68" s="13"/>
      <c r="G68" s="13"/>
      <c r="K68" s="49"/>
      <c r="L68" s="49"/>
      <c r="M68" s="49"/>
      <c r="N68" s="49"/>
      <c r="O68" s="49"/>
      <c r="P68" s="49"/>
      <c r="Q68" s="49"/>
      <c r="R68" s="49"/>
      <c r="S68" s="49"/>
      <c r="T68" s="49"/>
    </row>
    <row r="69" spans="1:20" x14ac:dyDescent="0.4">
      <c r="A69" s="13"/>
      <c r="B69" s="13"/>
      <c r="C69" s="13"/>
      <c r="E69" s="13"/>
      <c r="F69" s="13"/>
      <c r="G69" s="13"/>
      <c r="K69" s="49"/>
      <c r="L69" s="49"/>
      <c r="M69" s="49"/>
      <c r="N69" s="49"/>
      <c r="O69" s="49"/>
      <c r="P69" s="49"/>
      <c r="Q69" s="49"/>
      <c r="R69" s="49"/>
      <c r="S69" s="49"/>
      <c r="T69" s="49"/>
    </row>
    <row r="70" spans="1:20" x14ac:dyDescent="0.4">
      <c r="A70" s="13"/>
      <c r="B70" s="13"/>
      <c r="C70" s="13"/>
      <c r="E70" s="13"/>
      <c r="F70" s="13"/>
      <c r="G70" s="13"/>
      <c r="K70" s="49"/>
      <c r="L70" s="49"/>
      <c r="M70" s="49"/>
      <c r="N70" s="49"/>
      <c r="O70" s="49"/>
      <c r="P70" s="49"/>
      <c r="Q70" s="49"/>
      <c r="R70" s="49"/>
      <c r="S70" s="49"/>
      <c r="T70" s="49"/>
    </row>
    <row r="71" spans="1:20" x14ac:dyDescent="0.4">
      <c r="A71" s="13"/>
      <c r="B71" s="13"/>
      <c r="C71" s="13"/>
      <c r="E71" s="13"/>
      <c r="F71" s="13"/>
      <c r="G71" s="13"/>
      <c r="K71" s="49"/>
      <c r="L71" s="49"/>
      <c r="M71" s="49"/>
      <c r="N71" s="49"/>
      <c r="O71" s="49"/>
      <c r="P71" s="49"/>
      <c r="Q71" s="49"/>
      <c r="R71" s="49"/>
      <c r="S71" s="49"/>
      <c r="T71" s="49"/>
    </row>
    <row r="72" spans="1:20" x14ac:dyDescent="0.4">
      <c r="A72" s="13"/>
      <c r="B72" s="13"/>
      <c r="C72" s="13"/>
      <c r="E72" s="13"/>
      <c r="F72" s="13"/>
      <c r="G72" s="13"/>
      <c r="K72" s="49"/>
      <c r="L72" s="49"/>
      <c r="M72" s="49"/>
      <c r="N72" s="49"/>
      <c r="O72" s="49"/>
      <c r="P72" s="49"/>
      <c r="Q72" s="49"/>
      <c r="R72" s="49"/>
      <c r="S72" s="49"/>
      <c r="T72" s="49"/>
    </row>
    <row r="73" spans="1:20" x14ac:dyDescent="0.4">
      <c r="A73" s="13"/>
      <c r="B73" s="13"/>
      <c r="C73" s="13"/>
      <c r="E73" s="13"/>
      <c r="F73" s="13"/>
      <c r="G73" s="13"/>
      <c r="K73" s="49"/>
      <c r="L73" s="49"/>
      <c r="M73" s="49"/>
      <c r="N73" s="49"/>
      <c r="O73" s="49"/>
      <c r="P73" s="49"/>
      <c r="Q73" s="49"/>
      <c r="R73" s="49"/>
      <c r="S73" s="49"/>
      <c r="T73" s="49"/>
    </row>
    <row r="74" spans="1:20" x14ac:dyDescent="0.4">
      <c r="A74" s="13"/>
      <c r="B74" s="13"/>
      <c r="C74" s="13"/>
      <c r="E74" s="13"/>
      <c r="F74" s="13"/>
      <c r="G74" s="13"/>
      <c r="K74" s="49"/>
      <c r="L74" s="49"/>
      <c r="M74" s="49"/>
      <c r="N74" s="49"/>
      <c r="O74" s="49"/>
      <c r="P74" s="49"/>
      <c r="Q74" s="49"/>
      <c r="R74" s="49"/>
      <c r="S74" s="49"/>
      <c r="T74" s="49"/>
    </row>
    <row r="75" spans="1:20" x14ac:dyDescent="0.4">
      <c r="A75" s="13"/>
      <c r="B75" s="13"/>
      <c r="C75" s="13"/>
      <c r="E75" s="13"/>
      <c r="F75" s="13"/>
      <c r="G75" s="13"/>
      <c r="K75" s="49"/>
      <c r="L75" s="49"/>
      <c r="M75" s="49"/>
      <c r="N75" s="49"/>
      <c r="O75" s="49"/>
      <c r="P75" s="49"/>
      <c r="Q75" s="49"/>
      <c r="R75" s="49"/>
      <c r="S75" s="49"/>
      <c r="T75" s="49"/>
    </row>
    <row r="76" spans="1:20" x14ac:dyDescent="0.4">
      <c r="A76" s="13"/>
      <c r="B76" s="13"/>
      <c r="C76" s="13"/>
      <c r="E76" s="13"/>
      <c r="F76" s="13"/>
      <c r="G76" s="13"/>
      <c r="K76" s="49"/>
      <c r="L76" s="49"/>
      <c r="M76" s="49"/>
      <c r="N76" s="49"/>
      <c r="O76" s="49"/>
      <c r="P76" s="49"/>
      <c r="Q76" s="49"/>
      <c r="R76" s="49"/>
      <c r="S76" s="49"/>
      <c r="T76" s="49"/>
    </row>
    <row r="77" spans="1:20" x14ac:dyDescent="0.4">
      <c r="A77" s="13"/>
      <c r="B77" s="13"/>
      <c r="C77" s="13"/>
      <c r="E77" s="13"/>
      <c r="F77" s="13"/>
      <c r="G77" s="13"/>
      <c r="K77" s="49"/>
      <c r="L77" s="49"/>
      <c r="M77" s="49"/>
      <c r="N77" s="49"/>
      <c r="O77" s="49"/>
      <c r="P77" s="49"/>
      <c r="Q77" s="49"/>
      <c r="R77" s="49"/>
      <c r="S77" s="49"/>
      <c r="T77" s="49"/>
    </row>
    <row r="78" spans="1:20" x14ac:dyDescent="0.4">
      <c r="A78" s="13"/>
      <c r="B78" s="13"/>
      <c r="C78" s="13"/>
      <c r="E78" s="13"/>
      <c r="F78" s="13"/>
      <c r="G78" s="13"/>
      <c r="K78" s="49"/>
      <c r="L78" s="49"/>
      <c r="M78" s="49"/>
      <c r="N78" s="49"/>
      <c r="O78" s="49"/>
      <c r="P78" s="49"/>
      <c r="Q78" s="49"/>
      <c r="R78" s="49"/>
      <c r="S78" s="49"/>
      <c r="T78" s="49"/>
    </row>
    <row r="79" spans="1:20" x14ac:dyDescent="0.4">
      <c r="A79" s="13"/>
      <c r="B79" s="13"/>
      <c r="C79" s="13"/>
      <c r="E79" s="13"/>
      <c r="F79" s="13"/>
      <c r="G79" s="13"/>
      <c r="K79" s="49"/>
      <c r="L79" s="49"/>
      <c r="M79" s="49"/>
      <c r="N79" s="49"/>
      <c r="O79" s="49"/>
      <c r="P79" s="49"/>
      <c r="Q79" s="49"/>
      <c r="R79" s="49"/>
      <c r="S79" s="49"/>
      <c r="T79" s="49"/>
    </row>
    <row r="80" spans="1:20" x14ac:dyDescent="0.4">
      <c r="A80" s="13"/>
      <c r="B80" s="13"/>
      <c r="C80" s="13"/>
      <c r="E80" s="13"/>
      <c r="F80" s="13"/>
      <c r="G80" s="13"/>
      <c r="K80" s="49"/>
      <c r="L80" s="49"/>
      <c r="M80" s="49"/>
      <c r="N80" s="49"/>
      <c r="O80" s="49"/>
      <c r="P80" s="49"/>
      <c r="Q80" s="49"/>
      <c r="R80" s="49"/>
      <c r="S80" s="49"/>
      <c r="T80" s="49"/>
    </row>
    <row r="81" spans="1:20" x14ac:dyDescent="0.4">
      <c r="A81" s="13"/>
      <c r="B81" s="13"/>
      <c r="C81" s="13"/>
      <c r="E81" s="13"/>
      <c r="F81" s="13"/>
      <c r="G81" s="13"/>
      <c r="K81" s="49"/>
      <c r="L81" s="49"/>
      <c r="M81" s="49"/>
      <c r="N81" s="49"/>
      <c r="O81" s="49"/>
      <c r="P81" s="49"/>
      <c r="Q81" s="49"/>
      <c r="R81" s="49"/>
      <c r="S81" s="49"/>
      <c r="T81" s="49"/>
    </row>
    <row r="82" spans="1:20" x14ac:dyDescent="0.4">
      <c r="A82" s="13"/>
      <c r="B82" s="13"/>
      <c r="C82" s="13"/>
      <c r="E82" s="13"/>
      <c r="F82" s="13"/>
      <c r="G82" s="13"/>
      <c r="K82" s="49"/>
      <c r="L82" s="49"/>
      <c r="M82" s="49"/>
      <c r="N82" s="49"/>
      <c r="O82" s="49"/>
      <c r="P82" s="49"/>
      <c r="Q82" s="49"/>
      <c r="R82" s="49"/>
      <c r="S82" s="49"/>
      <c r="T82" s="49"/>
    </row>
    <row r="83" spans="1:20" x14ac:dyDescent="0.4">
      <c r="A83" s="13"/>
      <c r="B83" s="13"/>
      <c r="C83" s="13"/>
      <c r="E83" s="13"/>
      <c r="F83" s="13"/>
      <c r="G83" s="13"/>
      <c r="K83" s="49"/>
      <c r="L83" s="49"/>
      <c r="M83" s="49"/>
      <c r="N83" s="49"/>
      <c r="O83" s="49"/>
      <c r="P83" s="49"/>
      <c r="Q83" s="49"/>
      <c r="R83" s="49"/>
      <c r="S83" s="49"/>
      <c r="T83" s="49"/>
    </row>
    <row r="84" spans="1:20" x14ac:dyDescent="0.4">
      <c r="A84" s="13"/>
      <c r="B84" s="13"/>
      <c r="C84" s="13"/>
      <c r="E84" s="13"/>
      <c r="F84" s="13"/>
      <c r="G84" s="13"/>
      <c r="K84" s="49"/>
      <c r="L84" s="49"/>
      <c r="M84" s="49"/>
      <c r="N84" s="49"/>
      <c r="O84" s="49"/>
      <c r="P84" s="49"/>
      <c r="Q84" s="49"/>
      <c r="R84" s="49"/>
      <c r="S84" s="49"/>
      <c r="T84" s="49"/>
    </row>
    <row r="85" spans="1:20" x14ac:dyDescent="0.4">
      <c r="A85" s="13"/>
      <c r="B85" s="13"/>
      <c r="C85" s="13"/>
      <c r="E85" s="13"/>
      <c r="F85" s="13"/>
      <c r="G85" s="13"/>
      <c r="K85" s="49"/>
      <c r="L85" s="49"/>
      <c r="M85" s="49"/>
      <c r="N85" s="49"/>
      <c r="O85" s="49"/>
      <c r="P85" s="49"/>
      <c r="Q85" s="49"/>
      <c r="R85" s="49"/>
      <c r="S85" s="49"/>
      <c r="T85" s="49"/>
    </row>
    <row r="86" spans="1:20" x14ac:dyDescent="0.4">
      <c r="A86" s="13"/>
      <c r="B86" s="13"/>
      <c r="C86" s="13"/>
      <c r="E86" s="13"/>
      <c r="F86" s="13"/>
      <c r="G86" s="13"/>
      <c r="K86" s="49"/>
      <c r="L86" s="49"/>
      <c r="M86" s="49"/>
      <c r="N86" s="49"/>
      <c r="O86" s="49"/>
      <c r="P86" s="49"/>
      <c r="Q86" s="49"/>
      <c r="R86" s="49"/>
      <c r="S86" s="49"/>
      <c r="T86" s="49"/>
    </row>
    <row r="87" spans="1:20" x14ac:dyDescent="0.4">
      <c r="A87" s="13"/>
      <c r="B87" s="13"/>
      <c r="C87" s="13"/>
      <c r="E87" s="13"/>
      <c r="F87" s="13"/>
      <c r="G87" s="13"/>
      <c r="K87" s="49"/>
      <c r="L87" s="49"/>
      <c r="M87" s="49"/>
      <c r="N87" s="49"/>
      <c r="O87" s="49"/>
      <c r="P87" s="49"/>
      <c r="Q87" s="49"/>
      <c r="R87" s="49"/>
      <c r="S87" s="49"/>
      <c r="T87" s="49"/>
    </row>
    <row r="88" spans="1:20" x14ac:dyDescent="0.4">
      <c r="A88" s="13"/>
      <c r="B88" s="13"/>
      <c r="C88" s="13"/>
      <c r="E88" s="13"/>
      <c r="F88" s="13"/>
      <c r="G88" s="13"/>
      <c r="K88" s="49"/>
      <c r="L88" s="49"/>
      <c r="M88" s="49"/>
      <c r="N88" s="49"/>
      <c r="O88" s="49"/>
      <c r="P88" s="49"/>
      <c r="Q88" s="49"/>
      <c r="R88" s="49"/>
      <c r="S88" s="49"/>
      <c r="T88" s="49"/>
    </row>
    <row r="89" spans="1:20" x14ac:dyDescent="0.4">
      <c r="A89" s="13"/>
      <c r="B89" s="13"/>
      <c r="C89" s="13"/>
      <c r="E89" s="13"/>
      <c r="F89" s="13"/>
      <c r="G89" s="13"/>
      <c r="K89" s="49"/>
      <c r="L89" s="49"/>
      <c r="M89" s="49"/>
      <c r="N89" s="49"/>
      <c r="O89" s="49"/>
      <c r="P89" s="49"/>
      <c r="Q89" s="49"/>
      <c r="R89" s="49"/>
      <c r="S89" s="49"/>
      <c r="T89" s="49"/>
    </row>
    <row r="90" spans="1:20" x14ac:dyDescent="0.4">
      <c r="A90" s="13"/>
      <c r="B90" s="13"/>
      <c r="C90" s="13"/>
      <c r="E90" s="13"/>
      <c r="F90" s="13"/>
      <c r="G90" s="13"/>
      <c r="K90" s="49"/>
      <c r="L90" s="49"/>
      <c r="M90" s="49"/>
      <c r="N90" s="49"/>
      <c r="O90" s="49"/>
      <c r="P90" s="49"/>
      <c r="Q90" s="49"/>
      <c r="R90" s="49"/>
      <c r="S90" s="49"/>
      <c r="T90" s="49"/>
    </row>
    <row r="91" spans="1:20" x14ac:dyDescent="0.4">
      <c r="A91" s="13"/>
      <c r="B91" s="13"/>
      <c r="C91" s="13"/>
      <c r="E91" s="13"/>
      <c r="F91" s="13"/>
      <c r="G91" s="13"/>
      <c r="K91" s="49"/>
      <c r="L91" s="49"/>
      <c r="M91" s="49"/>
      <c r="N91" s="49"/>
      <c r="O91" s="49"/>
      <c r="P91" s="49"/>
      <c r="Q91" s="49"/>
      <c r="R91" s="49"/>
      <c r="S91" s="49"/>
      <c r="T91" s="49"/>
    </row>
    <row r="92" spans="1:20" x14ac:dyDescent="0.4">
      <c r="A92" s="13"/>
      <c r="B92" s="13"/>
      <c r="C92" s="13"/>
      <c r="E92" s="13"/>
      <c r="F92" s="13"/>
      <c r="G92" s="13"/>
      <c r="K92" s="49"/>
      <c r="L92" s="49"/>
      <c r="M92" s="49"/>
      <c r="N92" s="49"/>
      <c r="O92" s="49"/>
      <c r="P92" s="49"/>
      <c r="Q92" s="49"/>
      <c r="R92" s="49"/>
      <c r="S92" s="49"/>
      <c r="T92" s="49"/>
    </row>
    <row r="93" spans="1:20" x14ac:dyDescent="0.4">
      <c r="A93" s="13"/>
      <c r="B93" s="13"/>
      <c r="C93" s="13"/>
      <c r="E93" s="13"/>
      <c r="F93" s="13"/>
      <c r="G93" s="13"/>
      <c r="K93" s="49"/>
      <c r="L93" s="49"/>
      <c r="M93" s="49"/>
      <c r="N93" s="49"/>
      <c r="O93" s="49"/>
      <c r="P93" s="49"/>
      <c r="Q93" s="49"/>
      <c r="R93" s="49"/>
      <c r="S93" s="49"/>
      <c r="T93" s="49"/>
    </row>
    <row r="94" spans="1:20" x14ac:dyDescent="0.4">
      <c r="A94" s="13"/>
      <c r="B94" s="13"/>
      <c r="C94" s="13"/>
      <c r="E94" s="13"/>
      <c r="F94" s="13"/>
      <c r="G94" s="13"/>
      <c r="K94" s="49"/>
      <c r="L94" s="49"/>
      <c r="M94" s="49"/>
      <c r="N94" s="49"/>
      <c r="O94" s="49"/>
      <c r="P94" s="49"/>
      <c r="Q94" s="49"/>
      <c r="R94" s="49"/>
      <c r="S94" s="49"/>
      <c r="T94" s="49"/>
    </row>
    <row r="95" spans="1:20" x14ac:dyDescent="0.4">
      <c r="K95" s="49"/>
      <c r="L95" s="49"/>
      <c r="M95" s="49"/>
      <c r="N95" s="49"/>
      <c r="O95" s="49"/>
      <c r="P95" s="49"/>
      <c r="Q95" s="49"/>
      <c r="R95" s="49"/>
      <c r="S95" s="49"/>
      <c r="T95" s="49"/>
    </row>
  </sheetData>
  <mergeCells count="1">
    <mergeCell ref="K4:T95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53C69-7F37-44DD-A3B4-081699DF75C2}">
  <sheetPr codeName="Sheet5"/>
  <dimension ref="A1:V52"/>
  <sheetViews>
    <sheetView workbookViewId="0">
      <selection activeCell="B9" sqref="B9:B12"/>
    </sheetView>
  </sheetViews>
  <sheetFormatPr defaultRowHeight="17.399999999999999" x14ac:dyDescent="0.4"/>
  <cols>
    <col min="1" max="1" width="15.19921875" customWidth="1"/>
    <col min="2" max="2" width="13.09765625" bestFit="1" customWidth="1"/>
    <col min="4" max="5" width="13.09765625" bestFit="1" customWidth="1"/>
    <col min="7" max="8" width="13.09765625" bestFit="1" customWidth="1"/>
    <col min="10" max="11" width="13.09765625" bestFit="1" customWidth="1"/>
  </cols>
  <sheetData>
    <row r="1" spans="1:22" x14ac:dyDescent="0.4">
      <c r="A1" s="13" t="s">
        <v>133</v>
      </c>
      <c r="B1" s="29">
        <v>45394</v>
      </c>
      <c r="D1" s="50" t="s">
        <v>143</v>
      </c>
      <c r="E1" s="49"/>
      <c r="F1" s="49"/>
      <c r="G1" s="49"/>
      <c r="H1" s="49"/>
      <c r="I1" s="49"/>
      <c r="J1" s="49"/>
      <c r="K1" s="49"/>
    </row>
    <row r="2" spans="1:22" x14ac:dyDescent="0.4">
      <c r="D2" s="49"/>
      <c r="E2" s="49"/>
      <c r="F2" s="49"/>
      <c r="G2" s="49"/>
      <c r="H2" s="49"/>
      <c r="I2" s="49"/>
      <c r="J2" s="49"/>
      <c r="K2" s="49"/>
    </row>
    <row r="3" spans="1:22" x14ac:dyDescent="0.4">
      <c r="A3" s="6" t="s">
        <v>139</v>
      </c>
      <c r="B3" s="15"/>
      <c r="O3" t="s">
        <v>134</v>
      </c>
    </row>
    <row r="4" spans="1:22" ht="16.5" customHeight="1" x14ac:dyDescent="0.4">
      <c r="A4" s="32" t="s">
        <v>27</v>
      </c>
      <c r="B4" s="32"/>
      <c r="D4" s="32" t="s">
        <v>27</v>
      </c>
      <c r="E4" s="32"/>
      <c r="G4" s="32" t="s">
        <v>27</v>
      </c>
      <c r="H4" s="32"/>
      <c r="J4" s="32" t="s">
        <v>27</v>
      </c>
      <c r="K4" s="32"/>
      <c r="O4" s="48" t="s">
        <v>145</v>
      </c>
      <c r="P4" s="48"/>
      <c r="Q4" s="48"/>
      <c r="R4" s="48"/>
      <c r="S4" s="48"/>
      <c r="T4" s="48"/>
      <c r="U4" s="48"/>
      <c r="V4" s="48"/>
    </row>
    <row r="5" spans="1:22" x14ac:dyDescent="0.4">
      <c r="A5" s="8" t="s">
        <v>142</v>
      </c>
      <c r="B5" s="8" t="str">
        <f>"F_FX"&amp;B7&amp;B6</f>
        <v>F_FXKRWUSD</v>
      </c>
      <c r="D5" s="8" t="s">
        <v>142</v>
      </c>
      <c r="E5" s="8" t="str">
        <f>"F_FX"&amp;E7&amp;E6</f>
        <v>F_FXKRWEUR</v>
      </c>
      <c r="G5" s="8" t="s">
        <v>142</v>
      </c>
      <c r="H5" s="8" t="str">
        <f>"F_FX"&amp;H7&amp;H6</f>
        <v>F_FXKRWUSD</v>
      </c>
      <c r="J5" s="8" t="s">
        <v>142</v>
      </c>
      <c r="K5" s="8" t="str">
        <f>"F_FX"&amp;K7&amp;K6</f>
        <v>F_FXKRWUSD</v>
      </c>
      <c r="O5" s="48"/>
      <c r="P5" s="48"/>
      <c r="Q5" s="48"/>
      <c r="R5" s="48"/>
      <c r="S5" s="48"/>
      <c r="T5" s="48"/>
      <c r="U5" s="48"/>
      <c r="V5" s="48"/>
    </row>
    <row r="6" spans="1:22" x14ac:dyDescent="0.4">
      <c r="A6" s="8" t="s">
        <v>140</v>
      </c>
      <c r="B6" s="8" t="s">
        <v>39</v>
      </c>
      <c r="D6" s="8" t="s">
        <v>140</v>
      </c>
      <c r="E6" s="8" t="s">
        <v>156</v>
      </c>
      <c r="G6" s="8" t="s">
        <v>140</v>
      </c>
      <c r="H6" s="8" t="s">
        <v>39</v>
      </c>
      <c r="J6" s="8" t="s">
        <v>140</v>
      </c>
      <c r="K6" s="8" t="s">
        <v>39</v>
      </c>
      <c r="O6" s="48"/>
      <c r="P6" s="48"/>
      <c r="Q6" s="48"/>
      <c r="R6" s="48"/>
      <c r="S6" s="48"/>
      <c r="T6" s="48"/>
      <c r="U6" s="48"/>
      <c r="V6" s="48"/>
    </row>
    <row r="7" spans="1:22" x14ac:dyDescent="0.4">
      <c r="A7" s="8" t="s">
        <v>141</v>
      </c>
      <c r="B7" s="8" t="s">
        <v>78</v>
      </c>
      <c r="D7" s="8" t="s">
        <v>141</v>
      </c>
      <c r="E7" s="8" t="s">
        <v>78</v>
      </c>
      <c r="G7" s="8" t="s">
        <v>141</v>
      </c>
      <c r="H7" s="8" t="s">
        <v>78</v>
      </c>
      <c r="J7" s="8" t="s">
        <v>141</v>
      </c>
      <c r="K7" s="8" t="s">
        <v>78</v>
      </c>
      <c r="O7" s="48"/>
      <c r="P7" s="48"/>
      <c r="Q7" s="48"/>
      <c r="R7" s="48"/>
      <c r="S7" s="48"/>
      <c r="T7" s="48"/>
      <c r="U7" s="48"/>
      <c r="V7" s="48"/>
    </row>
    <row r="8" spans="1:22" x14ac:dyDescent="0.4">
      <c r="A8" s="8" t="s">
        <v>30</v>
      </c>
      <c r="B8" s="8" t="s">
        <v>44</v>
      </c>
      <c r="D8" s="8" t="s">
        <v>30</v>
      </c>
      <c r="E8" s="8" t="s">
        <v>44</v>
      </c>
      <c r="G8" s="8" t="s">
        <v>30</v>
      </c>
      <c r="H8" s="8" t="s">
        <v>44</v>
      </c>
      <c r="J8" s="8" t="s">
        <v>30</v>
      </c>
      <c r="K8" s="8" t="s">
        <v>44</v>
      </c>
      <c r="O8" s="48"/>
      <c r="P8" s="48"/>
      <c r="Q8" s="48"/>
      <c r="R8" s="48"/>
      <c r="S8" s="48"/>
      <c r="T8" s="48"/>
      <c r="U8" s="48"/>
      <c r="V8" s="48"/>
    </row>
    <row r="9" spans="1:22" x14ac:dyDescent="0.4">
      <c r="A9" s="21">
        <f>ROUND(1/360,5)</f>
        <v>2.7799999999999999E-3</v>
      </c>
      <c r="B9" s="22">
        <v>1375.35</v>
      </c>
      <c r="D9" s="21">
        <f>ROUND(1/360,5)</f>
        <v>2.7799999999999999E-3</v>
      </c>
      <c r="E9" s="22">
        <v>1468.32</v>
      </c>
      <c r="G9" s="21"/>
      <c r="H9" s="22"/>
      <c r="J9" s="21"/>
      <c r="K9" s="22"/>
      <c r="O9" s="48"/>
      <c r="P9" s="48"/>
      <c r="Q9" s="48"/>
      <c r="R9" s="48"/>
      <c r="S9" s="48"/>
      <c r="T9" s="48"/>
      <c r="U9" s="48"/>
      <c r="V9" s="48"/>
    </row>
    <row r="10" spans="1:22" x14ac:dyDescent="0.4">
      <c r="A10" s="23">
        <f>ROUND(7/360, 5)</f>
        <v>1.9439999999999999E-2</v>
      </c>
      <c r="B10" s="24">
        <v>1374.86</v>
      </c>
      <c r="D10" s="23">
        <f>ROUND(7/360, 5)</f>
        <v>1.9439999999999999E-2</v>
      </c>
      <c r="E10" s="24">
        <v>1468.2</v>
      </c>
      <c r="G10" s="23"/>
      <c r="H10" s="24"/>
      <c r="J10" s="23"/>
      <c r="K10" s="24"/>
      <c r="O10" s="48"/>
      <c r="P10" s="48"/>
      <c r="Q10" s="48"/>
      <c r="R10" s="48"/>
      <c r="S10" s="48"/>
      <c r="T10" s="48"/>
      <c r="U10" s="48"/>
      <c r="V10" s="48"/>
    </row>
    <row r="11" spans="1:22" x14ac:dyDescent="0.4">
      <c r="A11" s="23">
        <f>ROUND(30/360, 5)</f>
        <v>8.3330000000000001E-2</v>
      </c>
      <c r="B11" s="24">
        <v>1373.25</v>
      </c>
      <c r="D11" s="23">
        <f>ROUND(30/360, 5)</f>
        <v>8.3330000000000001E-2</v>
      </c>
      <c r="E11" s="24">
        <v>1467.84</v>
      </c>
      <c r="G11" s="23"/>
      <c r="H11" s="24"/>
      <c r="J11" s="23"/>
      <c r="K11" s="24"/>
      <c r="O11" s="48"/>
      <c r="P11" s="48"/>
      <c r="Q11" s="48"/>
      <c r="R11" s="48"/>
      <c r="S11" s="48"/>
      <c r="T11" s="48"/>
      <c r="U11" s="48"/>
      <c r="V11" s="48"/>
    </row>
    <row r="12" spans="1:22" x14ac:dyDescent="0.4">
      <c r="A12" s="23">
        <v>0.25</v>
      </c>
      <c r="B12" s="24">
        <v>1368.74</v>
      </c>
      <c r="D12" s="23">
        <v>0.25</v>
      </c>
      <c r="E12" s="24">
        <v>1466.86</v>
      </c>
      <c r="G12" s="23"/>
      <c r="H12" s="24"/>
      <c r="J12" s="23"/>
      <c r="K12" s="24"/>
      <c r="O12" s="48"/>
      <c r="P12" s="48"/>
      <c r="Q12" s="48"/>
      <c r="R12" s="48"/>
      <c r="S12" s="48"/>
      <c r="T12" s="48"/>
      <c r="U12" s="48"/>
      <c r="V12" s="48"/>
    </row>
    <row r="13" spans="1:22" x14ac:dyDescent="0.4">
      <c r="A13" s="23"/>
      <c r="B13" s="24"/>
      <c r="D13" s="23"/>
      <c r="E13" s="24"/>
      <c r="G13" s="23"/>
      <c r="H13" s="24"/>
      <c r="J13" s="23"/>
      <c r="K13" s="24"/>
      <c r="O13" s="48"/>
      <c r="P13" s="48"/>
      <c r="Q13" s="48"/>
      <c r="R13" s="48"/>
      <c r="S13" s="48"/>
      <c r="T13" s="48"/>
      <c r="U13" s="48"/>
      <c r="V13" s="48"/>
    </row>
    <row r="14" spans="1:22" x14ac:dyDescent="0.4">
      <c r="A14" s="23"/>
      <c r="B14" s="24"/>
      <c r="D14" s="23"/>
      <c r="E14" s="24"/>
      <c r="G14" s="23"/>
      <c r="H14" s="24"/>
      <c r="J14" s="23"/>
      <c r="K14" s="24"/>
      <c r="O14" s="48"/>
      <c r="P14" s="48"/>
      <c r="Q14" s="48"/>
      <c r="R14" s="48"/>
      <c r="S14" s="48"/>
      <c r="T14" s="48"/>
      <c r="U14" s="48"/>
      <c r="V14" s="48"/>
    </row>
    <row r="15" spans="1:22" x14ac:dyDescent="0.4">
      <c r="A15" s="23"/>
      <c r="B15" s="24"/>
      <c r="D15" s="23"/>
      <c r="E15" s="24"/>
      <c r="G15" s="23"/>
      <c r="H15" s="24"/>
      <c r="J15" s="23"/>
      <c r="K15" s="24"/>
      <c r="O15" s="48"/>
      <c r="P15" s="48"/>
      <c r="Q15" s="48"/>
      <c r="R15" s="48"/>
      <c r="S15" s="48"/>
      <c r="T15" s="48"/>
      <c r="U15" s="48"/>
      <c r="V15" s="48"/>
    </row>
    <row r="16" spans="1:22" x14ac:dyDescent="0.4">
      <c r="A16" s="23"/>
      <c r="B16" s="24"/>
      <c r="D16" s="23"/>
      <c r="E16" s="24"/>
      <c r="G16" s="23"/>
      <c r="H16" s="24"/>
      <c r="J16" s="23"/>
      <c r="K16" s="24"/>
      <c r="O16" s="48"/>
      <c r="P16" s="48"/>
      <c r="Q16" s="48"/>
      <c r="R16" s="48"/>
      <c r="S16" s="48"/>
      <c r="T16" s="48"/>
      <c r="U16" s="48"/>
      <c r="V16" s="48"/>
    </row>
    <row r="17" spans="1:22" x14ac:dyDescent="0.4">
      <c r="A17" s="23"/>
      <c r="B17" s="24"/>
      <c r="D17" s="23"/>
      <c r="E17" s="24"/>
      <c r="G17" s="23"/>
      <c r="H17" s="24"/>
      <c r="J17" s="23"/>
      <c r="K17" s="24"/>
      <c r="O17" s="48"/>
      <c r="P17" s="48"/>
      <c r="Q17" s="48"/>
      <c r="R17" s="48"/>
      <c r="S17" s="48"/>
      <c r="T17" s="48"/>
      <c r="U17" s="48"/>
      <c r="V17" s="48"/>
    </row>
    <row r="18" spans="1:22" x14ac:dyDescent="0.4">
      <c r="A18" s="23"/>
      <c r="B18" s="24"/>
      <c r="D18" s="23"/>
      <c r="E18" s="24"/>
      <c r="G18" s="23"/>
      <c r="H18" s="24"/>
      <c r="J18" s="23"/>
      <c r="K18" s="24"/>
      <c r="O18" s="48"/>
      <c r="P18" s="48"/>
      <c r="Q18" s="48"/>
      <c r="R18" s="48"/>
      <c r="S18" s="48"/>
      <c r="T18" s="48"/>
      <c r="U18" s="48"/>
      <c r="V18" s="48"/>
    </row>
    <row r="19" spans="1:22" x14ac:dyDescent="0.4">
      <c r="A19" s="23"/>
      <c r="B19" s="24"/>
      <c r="D19" s="23"/>
      <c r="E19" s="24"/>
      <c r="G19" s="23"/>
      <c r="H19" s="24"/>
      <c r="J19" s="23"/>
      <c r="K19" s="24"/>
      <c r="O19" s="48"/>
      <c r="P19" s="48"/>
      <c r="Q19" s="48"/>
      <c r="R19" s="48"/>
      <c r="S19" s="48"/>
      <c r="T19" s="48"/>
      <c r="U19" s="48"/>
      <c r="V19" s="48"/>
    </row>
    <row r="20" spans="1:22" x14ac:dyDescent="0.4">
      <c r="A20" s="23"/>
      <c r="B20" s="24"/>
      <c r="D20" s="23"/>
      <c r="E20" s="24"/>
      <c r="G20" s="23"/>
      <c r="H20" s="24"/>
      <c r="J20" s="23"/>
      <c r="K20" s="24"/>
      <c r="O20" s="48"/>
      <c r="P20" s="48"/>
      <c r="Q20" s="48"/>
      <c r="R20" s="48"/>
      <c r="S20" s="48"/>
      <c r="T20" s="48"/>
      <c r="U20" s="48"/>
      <c r="V20" s="48"/>
    </row>
    <row r="21" spans="1:22" x14ac:dyDescent="0.4">
      <c r="A21" s="23"/>
      <c r="B21" s="24"/>
      <c r="D21" s="23"/>
      <c r="E21" s="24"/>
      <c r="G21" s="23"/>
      <c r="H21" s="24"/>
      <c r="J21" s="23"/>
      <c r="K21" s="24"/>
      <c r="O21" s="48"/>
      <c r="P21" s="48"/>
      <c r="Q21" s="48"/>
      <c r="R21" s="48"/>
      <c r="S21" s="48"/>
      <c r="T21" s="48"/>
      <c r="U21" s="48"/>
      <c r="V21" s="48"/>
    </row>
    <row r="22" spans="1:22" x14ac:dyDescent="0.4">
      <c r="A22" s="23"/>
      <c r="B22" s="24"/>
      <c r="D22" s="23"/>
      <c r="E22" s="24"/>
      <c r="G22" s="23"/>
      <c r="H22" s="24"/>
      <c r="J22" s="23"/>
      <c r="K22" s="24"/>
      <c r="O22" s="48"/>
      <c r="P22" s="48"/>
      <c r="Q22" s="48"/>
      <c r="R22" s="48"/>
      <c r="S22" s="48"/>
      <c r="T22" s="48"/>
      <c r="U22" s="48"/>
      <c r="V22" s="48"/>
    </row>
    <row r="23" spans="1:22" x14ac:dyDescent="0.4">
      <c r="A23" s="23"/>
      <c r="B23" s="24"/>
      <c r="D23" s="23"/>
      <c r="E23" s="24"/>
      <c r="G23" s="23"/>
      <c r="H23" s="24"/>
      <c r="J23" s="23"/>
      <c r="K23" s="24"/>
      <c r="O23" s="48"/>
      <c r="P23" s="48"/>
      <c r="Q23" s="48"/>
      <c r="R23" s="48"/>
      <c r="S23" s="48"/>
      <c r="T23" s="48"/>
      <c r="U23" s="48"/>
      <c r="V23" s="48"/>
    </row>
    <row r="24" spans="1:22" x14ac:dyDescent="0.4">
      <c r="A24" s="23"/>
      <c r="B24" s="24"/>
      <c r="D24" s="23"/>
      <c r="E24" s="24"/>
      <c r="G24" s="23"/>
      <c r="H24" s="24"/>
      <c r="J24" s="23"/>
      <c r="K24" s="24"/>
      <c r="O24" s="48"/>
      <c r="P24" s="48"/>
      <c r="Q24" s="48"/>
      <c r="R24" s="48"/>
      <c r="S24" s="48"/>
      <c r="T24" s="48"/>
      <c r="U24" s="48"/>
      <c r="V24" s="48"/>
    </row>
    <row r="25" spans="1:22" x14ac:dyDescent="0.4">
      <c r="A25" s="23"/>
      <c r="B25" s="24"/>
      <c r="D25" s="23"/>
      <c r="E25" s="24"/>
      <c r="G25" s="23"/>
      <c r="H25" s="24"/>
      <c r="J25" s="23"/>
      <c r="K25" s="24"/>
      <c r="O25" s="48"/>
      <c r="P25" s="48"/>
      <c r="Q25" s="48"/>
      <c r="R25" s="48"/>
      <c r="S25" s="48"/>
      <c r="T25" s="48"/>
      <c r="U25" s="48"/>
      <c r="V25" s="48"/>
    </row>
    <row r="26" spans="1:22" x14ac:dyDescent="0.4">
      <c r="A26" s="23"/>
      <c r="B26" s="24"/>
      <c r="D26" s="23"/>
      <c r="E26" s="24"/>
      <c r="G26" s="23"/>
      <c r="H26" s="24"/>
      <c r="J26" s="23"/>
      <c r="K26" s="24"/>
      <c r="O26" s="48"/>
      <c r="P26" s="48"/>
      <c r="Q26" s="48"/>
      <c r="R26" s="48"/>
      <c r="S26" s="48"/>
      <c r="T26" s="48"/>
      <c r="U26" s="48"/>
      <c r="V26" s="48"/>
    </row>
    <row r="27" spans="1:22" x14ac:dyDescent="0.4">
      <c r="A27" s="23"/>
      <c r="B27" s="24"/>
      <c r="D27" s="23"/>
      <c r="E27" s="24"/>
      <c r="G27" s="23"/>
      <c r="H27" s="24"/>
      <c r="J27" s="23"/>
      <c r="K27" s="24"/>
      <c r="O27" s="48"/>
      <c r="P27" s="48"/>
      <c r="Q27" s="48"/>
      <c r="R27" s="48"/>
      <c r="S27" s="48"/>
      <c r="T27" s="48"/>
      <c r="U27" s="48"/>
      <c r="V27" s="48"/>
    </row>
    <row r="28" spans="1:22" x14ac:dyDescent="0.4">
      <c r="A28" s="23"/>
      <c r="B28" s="24"/>
      <c r="D28" s="23"/>
      <c r="E28" s="24"/>
      <c r="G28" s="23"/>
      <c r="H28" s="24"/>
      <c r="J28" s="23"/>
      <c r="K28" s="24"/>
      <c r="O28" s="48"/>
      <c r="P28" s="48"/>
      <c r="Q28" s="48"/>
      <c r="R28" s="48"/>
      <c r="S28" s="48"/>
      <c r="T28" s="48"/>
      <c r="U28" s="48"/>
      <c r="V28" s="48"/>
    </row>
    <row r="29" spans="1:22" x14ac:dyDescent="0.4">
      <c r="A29" s="23"/>
      <c r="B29" s="24"/>
      <c r="D29" s="23"/>
      <c r="E29" s="24"/>
      <c r="G29" s="23"/>
      <c r="H29" s="24"/>
      <c r="J29" s="23"/>
      <c r="K29" s="24"/>
      <c r="O29" s="48"/>
      <c r="P29" s="48"/>
      <c r="Q29" s="48"/>
      <c r="R29" s="48"/>
      <c r="S29" s="48"/>
      <c r="T29" s="48"/>
      <c r="U29" s="48"/>
      <c r="V29" s="48"/>
    </row>
    <row r="30" spans="1:22" x14ac:dyDescent="0.4">
      <c r="A30" s="23"/>
      <c r="B30" s="24"/>
      <c r="D30" s="23"/>
      <c r="E30" s="24"/>
      <c r="G30" s="23"/>
      <c r="H30" s="24"/>
      <c r="J30" s="23"/>
      <c r="K30" s="24"/>
      <c r="O30" s="48"/>
      <c r="P30" s="48"/>
      <c r="Q30" s="48"/>
      <c r="R30" s="48"/>
      <c r="S30" s="48"/>
      <c r="T30" s="48"/>
      <c r="U30" s="48"/>
      <c r="V30" s="48"/>
    </row>
    <row r="31" spans="1:22" x14ac:dyDescent="0.4">
      <c r="A31" s="23"/>
      <c r="B31" s="24"/>
      <c r="D31" s="23"/>
      <c r="E31" s="24"/>
      <c r="G31" s="23"/>
      <c r="H31" s="24"/>
      <c r="J31" s="23"/>
      <c r="K31" s="24"/>
      <c r="O31" s="48"/>
      <c r="P31" s="48"/>
      <c r="Q31" s="48"/>
      <c r="R31" s="48"/>
      <c r="S31" s="48"/>
      <c r="T31" s="48"/>
      <c r="U31" s="48"/>
      <c r="V31" s="48"/>
    </row>
    <row r="32" spans="1:22" x14ac:dyDescent="0.4">
      <c r="A32" s="23"/>
      <c r="B32" s="24"/>
      <c r="D32" s="23"/>
      <c r="E32" s="24"/>
      <c r="G32" s="23"/>
      <c r="H32" s="24"/>
      <c r="J32" s="23"/>
      <c r="K32" s="24"/>
      <c r="O32" s="48"/>
      <c r="P32" s="48"/>
      <c r="Q32" s="48"/>
      <c r="R32" s="48"/>
      <c r="S32" s="48"/>
      <c r="T32" s="48"/>
      <c r="U32" s="48"/>
      <c r="V32" s="48"/>
    </row>
    <row r="33" spans="1:22" x14ac:dyDescent="0.4">
      <c r="A33" s="23"/>
      <c r="B33" s="24"/>
      <c r="D33" s="23"/>
      <c r="E33" s="24"/>
      <c r="G33" s="23"/>
      <c r="H33" s="24"/>
      <c r="J33" s="23"/>
      <c r="K33" s="24"/>
      <c r="O33" s="48"/>
      <c r="P33" s="48"/>
      <c r="Q33" s="48"/>
      <c r="R33" s="48"/>
      <c r="S33" s="48"/>
      <c r="T33" s="48"/>
      <c r="U33" s="48"/>
      <c r="V33" s="48"/>
    </row>
    <row r="34" spans="1:22" x14ac:dyDescent="0.4">
      <c r="A34" s="23"/>
      <c r="B34" s="24"/>
      <c r="D34" s="23"/>
      <c r="E34" s="24"/>
      <c r="G34" s="23"/>
      <c r="H34" s="24"/>
      <c r="J34" s="23"/>
      <c r="K34" s="24"/>
      <c r="O34" s="48"/>
      <c r="P34" s="48"/>
      <c r="Q34" s="48"/>
      <c r="R34" s="48"/>
      <c r="S34" s="48"/>
      <c r="T34" s="48"/>
      <c r="U34" s="48"/>
      <c r="V34" s="48"/>
    </row>
    <row r="35" spans="1:22" x14ac:dyDescent="0.4">
      <c r="A35" s="23"/>
      <c r="B35" s="24"/>
      <c r="D35" s="23"/>
      <c r="E35" s="24"/>
      <c r="G35" s="23"/>
      <c r="H35" s="24"/>
      <c r="J35" s="23"/>
      <c r="K35" s="24"/>
      <c r="O35" s="48"/>
      <c r="P35" s="48"/>
      <c r="Q35" s="48"/>
      <c r="R35" s="48"/>
      <c r="S35" s="48"/>
      <c r="T35" s="48"/>
      <c r="U35" s="48"/>
      <c r="V35" s="48"/>
    </row>
    <row r="36" spans="1:22" x14ac:dyDescent="0.4">
      <c r="A36" s="23"/>
      <c r="B36" s="24"/>
      <c r="D36" s="23"/>
      <c r="E36" s="24"/>
      <c r="G36" s="23"/>
      <c r="H36" s="24"/>
      <c r="J36" s="23"/>
      <c r="K36" s="24"/>
      <c r="O36" s="48"/>
      <c r="P36" s="48"/>
      <c r="Q36" s="48"/>
      <c r="R36" s="48"/>
      <c r="S36" s="48"/>
      <c r="T36" s="48"/>
      <c r="U36" s="48"/>
      <c r="V36" s="48"/>
    </row>
    <row r="37" spans="1:22" x14ac:dyDescent="0.4">
      <c r="A37" s="23"/>
      <c r="B37" s="24"/>
      <c r="D37" s="23"/>
      <c r="E37" s="24"/>
      <c r="G37" s="23"/>
      <c r="H37" s="24"/>
      <c r="J37" s="23"/>
      <c r="K37" s="24"/>
      <c r="O37" s="48"/>
      <c r="P37" s="48"/>
      <c r="Q37" s="48"/>
      <c r="R37" s="48"/>
      <c r="S37" s="48"/>
      <c r="T37" s="48"/>
      <c r="U37" s="48"/>
      <c r="V37" s="48"/>
    </row>
    <row r="38" spans="1:22" x14ac:dyDescent="0.4">
      <c r="A38" s="23"/>
      <c r="B38" s="24"/>
      <c r="D38" s="23"/>
      <c r="E38" s="24"/>
      <c r="G38" s="23"/>
      <c r="H38" s="24"/>
      <c r="J38" s="23"/>
      <c r="K38" s="24"/>
      <c r="O38" s="48"/>
      <c r="P38" s="48"/>
      <c r="Q38" s="48"/>
      <c r="R38" s="48"/>
      <c r="S38" s="48"/>
      <c r="T38" s="48"/>
      <c r="U38" s="48"/>
      <c r="V38" s="48"/>
    </row>
    <row r="39" spans="1:22" x14ac:dyDescent="0.4">
      <c r="A39" s="23"/>
      <c r="B39" s="24"/>
      <c r="D39" s="23"/>
      <c r="E39" s="24"/>
      <c r="G39" s="23"/>
      <c r="H39" s="24"/>
      <c r="J39" s="23"/>
      <c r="K39" s="24"/>
      <c r="O39" s="48"/>
      <c r="P39" s="48"/>
      <c r="Q39" s="48"/>
      <c r="R39" s="48"/>
      <c r="S39" s="48"/>
      <c r="T39" s="48"/>
      <c r="U39" s="48"/>
      <c r="V39" s="48"/>
    </row>
    <row r="40" spans="1:22" x14ac:dyDescent="0.4">
      <c r="A40" s="23"/>
      <c r="B40" s="24"/>
      <c r="D40" s="23"/>
      <c r="E40" s="24"/>
      <c r="G40" s="23"/>
      <c r="H40" s="24"/>
      <c r="J40" s="23"/>
      <c r="K40" s="24"/>
      <c r="O40" s="48"/>
      <c r="P40" s="48"/>
      <c r="Q40" s="48"/>
      <c r="R40" s="48"/>
      <c r="S40" s="48"/>
      <c r="T40" s="48"/>
      <c r="U40" s="48"/>
      <c r="V40" s="48"/>
    </row>
    <row r="41" spans="1:22" x14ac:dyDescent="0.4">
      <c r="A41" s="23"/>
      <c r="B41" s="24"/>
      <c r="D41" s="23"/>
      <c r="E41" s="24"/>
      <c r="G41" s="23"/>
      <c r="H41" s="24"/>
      <c r="J41" s="23"/>
      <c r="K41" s="24"/>
      <c r="O41" s="48"/>
      <c r="P41" s="48"/>
      <c r="Q41" s="48"/>
      <c r="R41" s="48"/>
      <c r="S41" s="48"/>
      <c r="T41" s="48"/>
      <c r="U41" s="48"/>
      <c r="V41" s="48"/>
    </row>
    <row r="42" spans="1:22" x14ac:dyDescent="0.4">
      <c r="A42" s="23"/>
      <c r="B42" s="24"/>
      <c r="D42" s="23"/>
      <c r="E42" s="24"/>
      <c r="G42" s="23"/>
      <c r="H42" s="24"/>
      <c r="J42" s="23"/>
      <c r="K42" s="24"/>
      <c r="O42" s="48"/>
      <c r="P42" s="48"/>
      <c r="Q42" s="48"/>
      <c r="R42" s="48"/>
      <c r="S42" s="48"/>
      <c r="T42" s="48"/>
      <c r="U42" s="48"/>
      <c r="V42" s="48"/>
    </row>
    <row r="43" spans="1:22" x14ac:dyDescent="0.4">
      <c r="A43" s="23"/>
      <c r="B43" s="24"/>
      <c r="D43" s="23"/>
      <c r="E43" s="24"/>
      <c r="G43" s="23"/>
      <c r="H43" s="24"/>
      <c r="J43" s="23"/>
      <c r="K43" s="24"/>
      <c r="O43" s="48"/>
      <c r="P43" s="48"/>
      <c r="Q43" s="48"/>
      <c r="R43" s="48"/>
      <c r="S43" s="48"/>
      <c r="T43" s="48"/>
      <c r="U43" s="48"/>
      <c r="V43" s="48"/>
    </row>
    <row r="44" spans="1:22" x14ac:dyDescent="0.4">
      <c r="A44" s="23"/>
      <c r="B44" s="24"/>
      <c r="D44" s="23"/>
      <c r="E44" s="24"/>
      <c r="G44" s="23"/>
      <c r="H44" s="24"/>
      <c r="J44" s="23"/>
      <c r="K44" s="24"/>
      <c r="O44" s="48"/>
      <c r="P44" s="48"/>
      <c r="Q44" s="48"/>
      <c r="R44" s="48"/>
      <c r="S44" s="48"/>
      <c r="T44" s="48"/>
      <c r="U44" s="48"/>
      <c r="V44" s="48"/>
    </row>
    <row r="45" spans="1:22" x14ac:dyDescent="0.4">
      <c r="A45" s="23"/>
      <c r="B45" s="24"/>
      <c r="D45" s="23"/>
      <c r="E45" s="24"/>
      <c r="G45" s="23"/>
      <c r="H45" s="24"/>
      <c r="J45" s="23"/>
      <c r="K45" s="24"/>
      <c r="O45" s="48"/>
      <c r="P45" s="48"/>
      <c r="Q45" s="48"/>
      <c r="R45" s="48"/>
      <c r="S45" s="48"/>
      <c r="T45" s="48"/>
      <c r="U45" s="48"/>
      <c r="V45" s="48"/>
    </row>
    <row r="46" spans="1:22" x14ac:dyDescent="0.4">
      <c r="A46" s="23"/>
      <c r="B46" s="24"/>
      <c r="D46" s="23"/>
      <c r="E46" s="24"/>
      <c r="G46" s="23"/>
      <c r="H46" s="24"/>
      <c r="J46" s="23"/>
      <c r="K46" s="24"/>
      <c r="O46" s="48"/>
      <c r="P46" s="48"/>
      <c r="Q46" s="48"/>
      <c r="R46" s="48"/>
      <c r="S46" s="48"/>
      <c r="T46" s="48"/>
      <c r="U46" s="48"/>
      <c r="V46" s="48"/>
    </row>
    <row r="47" spans="1:22" x14ac:dyDescent="0.4">
      <c r="A47" s="23"/>
      <c r="B47" s="24"/>
      <c r="D47" s="23"/>
      <c r="E47" s="24"/>
      <c r="G47" s="23"/>
      <c r="H47" s="24"/>
      <c r="J47" s="23"/>
      <c r="K47" s="24"/>
      <c r="O47" t="s">
        <v>144</v>
      </c>
    </row>
    <row r="48" spans="1:22" x14ac:dyDescent="0.4">
      <c r="A48" s="23"/>
      <c r="B48" s="24"/>
      <c r="D48" s="23"/>
      <c r="E48" s="24"/>
      <c r="G48" s="23"/>
      <c r="H48" s="24"/>
      <c r="J48" s="23"/>
      <c r="K48" s="24"/>
    </row>
    <row r="49" spans="1:11" x14ac:dyDescent="0.4">
      <c r="A49" s="23"/>
      <c r="B49" s="24"/>
      <c r="D49" s="23"/>
      <c r="E49" s="24"/>
      <c r="G49" s="23"/>
      <c r="H49" s="24"/>
      <c r="J49" s="23"/>
      <c r="K49" s="24"/>
    </row>
    <row r="50" spans="1:11" x14ac:dyDescent="0.4">
      <c r="A50" s="23"/>
      <c r="B50" s="24"/>
      <c r="D50" s="23"/>
      <c r="E50" s="24"/>
      <c r="G50" s="23"/>
      <c r="H50" s="24"/>
      <c r="J50" s="23"/>
      <c r="K50" s="24"/>
    </row>
    <row r="51" spans="1:11" x14ac:dyDescent="0.4">
      <c r="A51" s="23"/>
      <c r="B51" s="24"/>
      <c r="D51" s="23"/>
      <c r="E51" s="24"/>
      <c r="G51" s="23"/>
      <c r="H51" s="24"/>
      <c r="J51" s="23"/>
      <c r="K51" s="24"/>
    </row>
    <row r="52" spans="1:11" x14ac:dyDescent="0.4">
      <c r="A52" s="25"/>
      <c r="B52" s="26"/>
      <c r="D52" s="25"/>
      <c r="E52" s="26"/>
      <c r="G52" s="25"/>
      <c r="H52" s="26"/>
      <c r="J52" s="25"/>
      <c r="K52" s="26"/>
    </row>
  </sheetData>
  <mergeCells count="2">
    <mergeCell ref="D1:K2"/>
    <mergeCell ref="O4:V4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DD279-6E83-4042-A081-7631976AF2A3}">
  <sheetPr codeName="Sheet6"/>
  <dimension ref="A1:Z53"/>
  <sheetViews>
    <sheetView workbookViewId="0">
      <selection activeCell="J18" sqref="J18"/>
    </sheetView>
  </sheetViews>
  <sheetFormatPr defaultRowHeight="17.399999999999999" x14ac:dyDescent="0.4"/>
  <cols>
    <col min="1" max="1" width="15.19921875" customWidth="1"/>
    <col min="2" max="2" width="17.8984375" bestFit="1" customWidth="1"/>
    <col min="4" max="4" width="13.69921875" bestFit="1" customWidth="1"/>
    <col min="5" max="5" width="17.8984375" bestFit="1" customWidth="1"/>
    <col min="7" max="7" width="13.69921875" bestFit="1" customWidth="1"/>
    <col min="8" max="8" width="17.8984375" bestFit="1" customWidth="1"/>
    <col min="10" max="10" width="13.69921875" bestFit="1" customWidth="1"/>
    <col min="11" max="11" width="17.8984375" bestFit="1" customWidth="1"/>
  </cols>
  <sheetData>
    <row r="1" spans="1:26" x14ac:dyDescent="0.4">
      <c r="A1" s="13" t="s">
        <v>133</v>
      </c>
      <c r="B1" s="29">
        <v>45394</v>
      </c>
      <c r="D1" s="50" t="s">
        <v>151</v>
      </c>
      <c r="E1" s="49"/>
      <c r="F1" s="49"/>
      <c r="G1" s="49"/>
      <c r="H1" s="49"/>
      <c r="I1" s="49"/>
      <c r="J1" s="49"/>
      <c r="K1" s="49"/>
    </row>
    <row r="2" spans="1:26" x14ac:dyDescent="0.4">
      <c r="D2" s="49"/>
      <c r="E2" s="49"/>
      <c r="F2" s="49"/>
      <c r="G2" s="49"/>
      <c r="H2" s="49"/>
      <c r="I2" s="49"/>
      <c r="J2" s="49"/>
      <c r="K2" s="49"/>
    </row>
    <row r="3" spans="1:26" x14ac:dyDescent="0.4">
      <c r="A3" s="6" t="s">
        <v>146</v>
      </c>
      <c r="B3" s="15"/>
    </row>
    <row r="4" spans="1:26" ht="16.5" customHeight="1" x14ac:dyDescent="0.4">
      <c r="A4" s="32" t="s">
        <v>27</v>
      </c>
      <c r="B4" s="32"/>
      <c r="D4" s="32" t="s">
        <v>27</v>
      </c>
      <c r="E4" s="32"/>
      <c r="G4" s="32" t="s">
        <v>27</v>
      </c>
      <c r="H4" s="32"/>
      <c r="J4" s="32" t="s">
        <v>27</v>
      </c>
      <c r="K4" s="32"/>
      <c r="O4" s="48" t="s">
        <v>148</v>
      </c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</row>
    <row r="5" spans="1:26" x14ac:dyDescent="0.4">
      <c r="A5" s="8" t="s">
        <v>126</v>
      </c>
      <c r="B5" s="8" t="s">
        <v>38</v>
      </c>
      <c r="D5" s="8" t="s">
        <v>126</v>
      </c>
      <c r="E5" s="8" t="s">
        <v>77</v>
      </c>
      <c r="G5" s="8" t="s">
        <v>126</v>
      </c>
      <c r="H5" s="8" t="s">
        <v>41</v>
      </c>
      <c r="J5" s="8" t="s">
        <v>126</v>
      </c>
      <c r="K5" s="8" t="s">
        <v>40</v>
      </c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4">
      <c r="A6" s="8" t="s">
        <v>142</v>
      </c>
      <c r="B6" s="8" t="str">
        <f>B5&amp;"_D_CALB"</f>
        <v>KOSPI200_D_CALB</v>
      </c>
      <c r="D6" s="8" t="s">
        <v>142</v>
      </c>
      <c r="E6" s="8" t="str">
        <f>E5&amp;"_D_CALB"</f>
        <v>SPX_D_CALB</v>
      </c>
      <c r="G6" s="8" t="s">
        <v>142</v>
      </c>
      <c r="H6" s="8" t="str">
        <f>H5&amp;"_D_CALB"</f>
        <v>HSCEI_D_CALB</v>
      </c>
      <c r="J6" s="8" t="s">
        <v>142</v>
      </c>
      <c r="K6" s="8" t="str">
        <f>K5&amp;"_D_CALB"</f>
        <v>NKY_D_CALB</v>
      </c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34.799999999999997" x14ac:dyDescent="0.4">
      <c r="A7" s="8" t="s">
        <v>154</v>
      </c>
      <c r="B7" s="34" t="str">
        <f>B6&amp;"보정 이산 배당흐름"</f>
        <v>KOSPI200_D_CALB보정 이산 배당흐름</v>
      </c>
      <c r="D7" s="8" t="s">
        <v>154</v>
      </c>
      <c r="E7" s="34" t="str">
        <f>E6&amp;"보정 이산 배당흐름"</f>
        <v>SPX_D_CALB보정 이산 배당흐름</v>
      </c>
      <c r="G7" s="8" t="s">
        <v>140</v>
      </c>
      <c r="H7" s="34" t="str">
        <f>H6&amp;"보정 이산 배당흐름"</f>
        <v>HSCEI_D_CALB보정 이산 배당흐름</v>
      </c>
      <c r="J7" s="8" t="s">
        <v>140</v>
      </c>
      <c r="K7" s="34" t="str">
        <f>K6&amp;"보정 이산 배당흐름"</f>
        <v>NKY_D_CALB보정 이산 배당흐름</v>
      </c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4">
      <c r="A8" s="8" t="s">
        <v>147</v>
      </c>
      <c r="B8" s="8" t="s">
        <v>78</v>
      </c>
      <c r="D8" s="8" t="s">
        <v>147</v>
      </c>
      <c r="E8" s="8" t="s">
        <v>39</v>
      </c>
      <c r="G8" s="8" t="s">
        <v>147</v>
      </c>
      <c r="H8" s="8" t="s">
        <v>153</v>
      </c>
      <c r="J8" s="8" t="s">
        <v>147</v>
      </c>
      <c r="K8" s="8" t="s">
        <v>155</v>
      </c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x14ac:dyDescent="0.4">
      <c r="A9" s="8" t="s">
        <v>149</v>
      </c>
      <c r="B9" s="8" t="s">
        <v>150</v>
      </c>
      <c r="D9" s="8" t="s">
        <v>149</v>
      </c>
      <c r="E9" s="8" t="s">
        <v>150</v>
      </c>
      <c r="G9" s="8" t="s">
        <v>149</v>
      </c>
      <c r="H9" s="8" t="s">
        <v>150</v>
      </c>
      <c r="J9" s="8" t="s">
        <v>149</v>
      </c>
      <c r="K9" s="8" t="s">
        <v>150</v>
      </c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4">
      <c r="A10" s="21">
        <v>20240415</v>
      </c>
      <c r="B10" s="22">
        <v>6.7999999999999996E-3</v>
      </c>
      <c r="D10" s="21">
        <v>20240415</v>
      </c>
      <c r="E10" s="22">
        <v>0.51229999999999998</v>
      </c>
      <c r="G10" s="21">
        <v>20240415</v>
      </c>
      <c r="H10" s="22">
        <v>3.4066999999999998</v>
      </c>
      <c r="J10" s="21">
        <v>20240415</v>
      </c>
      <c r="K10" s="22">
        <v>295.18259999999998</v>
      </c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x14ac:dyDescent="0.4">
      <c r="A11" s="23">
        <v>20240422</v>
      </c>
      <c r="B11" s="24">
        <v>7.7299999999999994E-2</v>
      </c>
      <c r="D11" s="23">
        <v>20240422</v>
      </c>
      <c r="E11" s="24">
        <v>9.1499999999999998E-2</v>
      </c>
      <c r="G11" s="23">
        <v>20240422</v>
      </c>
      <c r="H11" s="24">
        <v>0.76100000000000001</v>
      </c>
      <c r="J11" s="23">
        <v>20240422</v>
      </c>
      <c r="K11" s="24">
        <v>48.081400000000002</v>
      </c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4">
      <c r="A12" s="21">
        <v>20240429</v>
      </c>
      <c r="B12" s="24">
        <v>1.4800000000000001E-2</v>
      </c>
      <c r="D12" s="21">
        <v>20240429</v>
      </c>
      <c r="E12" s="24">
        <v>0.19800000000000001</v>
      </c>
      <c r="G12" s="21">
        <v>20240429</v>
      </c>
      <c r="H12" s="24">
        <v>3.5385</v>
      </c>
      <c r="J12" s="21">
        <v>20240429</v>
      </c>
      <c r="K12" s="24">
        <v>2.5794999999999999</v>
      </c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x14ac:dyDescent="0.4">
      <c r="A13" s="23"/>
      <c r="B13" s="24"/>
      <c r="D13" s="23"/>
      <c r="E13" s="24"/>
      <c r="G13" s="23"/>
      <c r="H13" s="24"/>
      <c r="J13" s="23"/>
      <c r="K13" s="24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4">
      <c r="A14" s="21"/>
      <c r="B14" s="24"/>
      <c r="D14" s="23"/>
      <c r="E14" s="24"/>
      <c r="G14" s="23"/>
      <c r="H14" s="24"/>
      <c r="J14" s="23"/>
      <c r="K14" s="24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x14ac:dyDescent="0.4">
      <c r="A15" s="23"/>
      <c r="B15" s="24"/>
      <c r="D15" s="23"/>
      <c r="E15" s="24"/>
      <c r="G15" s="23"/>
      <c r="H15" s="24"/>
      <c r="J15" s="23"/>
      <c r="K15" s="24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4">
      <c r="A16" s="21"/>
      <c r="B16" s="24"/>
      <c r="D16" s="23"/>
      <c r="E16" s="24"/>
      <c r="G16" s="23"/>
      <c r="H16" s="24"/>
      <c r="J16" s="23"/>
      <c r="K16" s="24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2" x14ac:dyDescent="0.4">
      <c r="A17" s="23"/>
      <c r="B17" s="24"/>
      <c r="D17" s="23"/>
      <c r="E17" s="24"/>
      <c r="G17" s="23"/>
      <c r="H17" s="24"/>
      <c r="J17" s="23"/>
      <c r="K17" s="24"/>
      <c r="O17" s="33"/>
      <c r="P17" s="33"/>
      <c r="Q17" s="33"/>
      <c r="R17" s="33"/>
      <c r="S17" s="33"/>
      <c r="T17" s="33"/>
      <c r="U17" s="33"/>
      <c r="V17" s="33"/>
    </row>
    <row r="18" spans="1:22" x14ac:dyDescent="0.4">
      <c r="A18" s="21"/>
      <c r="B18" s="24"/>
      <c r="D18" s="23"/>
      <c r="E18" s="24"/>
      <c r="G18" s="23"/>
      <c r="H18" s="24"/>
      <c r="J18" s="23"/>
      <c r="K18" s="24"/>
      <c r="O18" s="33"/>
      <c r="P18" s="33"/>
      <c r="Q18" s="33"/>
      <c r="R18" s="33"/>
      <c r="S18" s="33"/>
      <c r="T18" s="33"/>
      <c r="U18" s="33"/>
      <c r="V18" s="33"/>
    </row>
    <row r="19" spans="1:22" x14ac:dyDescent="0.4">
      <c r="A19" s="23"/>
      <c r="B19" s="24"/>
      <c r="D19" s="23"/>
      <c r="E19" s="24"/>
      <c r="G19" s="23"/>
      <c r="H19" s="24"/>
      <c r="J19" s="23"/>
      <c r="K19" s="24"/>
      <c r="O19" s="33"/>
      <c r="P19" s="33"/>
      <c r="Q19" s="33"/>
      <c r="R19" s="33"/>
      <c r="S19" s="33"/>
      <c r="T19" s="33"/>
      <c r="U19" s="33"/>
      <c r="V19" s="33"/>
    </row>
    <row r="20" spans="1:22" x14ac:dyDescent="0.4">
      <c r="A20" s="21"/>
      <c r="B20" s="24"/>
      <c r="D20" s="23"/>
      <c r="E20" s="24"/>
      <c r="G20" s="23"/>
      <c r="H20" s="24"/>
      <c r="J20" s="23"/>
      <c r="K20" s="24"/>
      <c r="O20" s="33"/>
      <c r="P20" s="33"/>
      <c r="Q20" s="33"/>
      <c r="R20" s="33"/>
      <c r="S20" s="33"/>
      <c r="T20" s="33"/>
      <c r="U20" s="33"/>
      <c r="V20" s="33"/>
    </row>
    <row r="21" spans="1:22" x14ac:dyDescent="0.4">
      <c r="A21" s="23"/>
      <c r="B21" s="24"/>
      <c r="D21" s="23"/>
      <c r="E21" s="24"/>
      <c r="G21" s="23"/>
      <c r="H21" s="24"/>
      <c r="J21" s="23"/>
      <c r="K21" s="24"/>
      <c r="O21" s="33"/>
      <c r="P21" s="33"/>
      <c r="Q21" s="33"/>
      <c r="R21" s="33"/>
      <c r="S21" s="33"/>
      <c r="T21" s="33"/>
      <c r="U21" s="33"/>
      <c r="V21" s="33"/>
    </row>
    <row r="22" spans="1:22" x14ac:dyDescent="0.4">
      <c r="A22" s="21"/>
      <c r="B22" s="24"/>
      <c r="D22" s="23"/>
      <c r="E22" s="24"/>
      <c r="G22" s="23"/>
      <c r="H22" s="24"/>
      <c r="J22" s="23"/>
      <c r="K22" s="24"/>
      <c r="O22" s="33"/>
      <c r="P22" s="33"/>
      <c r="Q22" s="33"/>
      <c r="R22" s="33"/>
      <c r="S22" s="33"/>
      <c r="T22" s="33"/>
      <c r="U22" s="33"/>
      <c r="V22" s="33"/>
    </row>
    <row r="23" spans="1:22" x14ac:dyDescent="0.4">
      <c r="A23" s="23"/>
      <c r="B23" s="24"/>
      <c r="D23" s="23"/>
      <c r="E23" s="24"/>
      <c r="G23" s="23"/>
      <c r="H23" s="24"/>
      <c r="J23" s="23"/>
      <c r="K23" s="24"/>
      <c r="O23" s="33"/>
      <c r="P23" s="33"/>
      <c r="Q23" s="33"/>
      <c r="R23" s="33"/>
      <c r="S23" s="33"/>
      <c r="T23" s="33"/>
      <c r="U23" s="33"/>
      <c r="V23" s="33"/>
    </row>
    <row r="24" spans="1:22" x14ac:dyDescent="0.4">
      <c r="A24" s="21"/>
      <c r="B24" s="24"/>
      <c r="D24" s="23"/>
      <c r="E24" s="24"/>
      <c r="G24" s="23"/>
      <c r="H24" s="24"/>
      <c r="J24" s="23"/>
      <c r="K24" s="24"/>
      <c r="O24" s="33"/>
      <c r="P24" s="33"/>
      <c r="Q24" s="33"/>
      <c r="R24" s="33"/>
      <c r="S24" s="33"/>
      <c r="T24" s="33"/>
      <c r="U24" s="33"/>
      <c r="V24" s="33"/>
    </row>
    <row r="25" spans="1:22" x14ac:dyDescent="0.4">
      <c r="A25" s="23"/>
      <c r="B25" s="24"/>
      <c r="D25" s="23"/>
      <c r="E25" s="24"/>
      <c r="G25" s="23"/>
      <c r="H25" s="24"/>
      <c r="J25" s="23"/>
      <c r="K25" s="24"/>
      <c r="O25" s="33"/>
      <c r="P25" s="33"/>
      <c r="Q25" s="33"/>
      <c r="R25" s="33"/>
      <c r="S25" s="33"/>
      <c r="T25" s="33"/>
      <c r="U25" s="33"/>
      <c r="V25" s="33"/>
    </row>
    <row r="26" spans="1:22" x14ac:dyDescent="0.4">
      <c r="A26" s="23"/>
      <c r="B26" s="24"/>
      <c r="D26" s="23"/>
      <c r="E26" s="24"/>
      <c r="G26" s="23"/>
      <c r="H26" s="24"/>
      <c r="J26" s="23"/>
      <c r="K26" s="24"/>
      <c r="O26" s="33"/>
      <c r="P26" s="33"/>
      <c r="Q26" s="33"/>
      <c r="R26" s="33"/>
      <c r="S26" s="33"/>
      <c r="T26" s="33"/>
      <c r="U26" s="33"/>
      <c r="V26" s="33"/>
    </row>
    <row r="27" spans="1:22" x14ac:dyDescent="0.4">
      <c r="A27" s="23"/>
      <c r="B27" s="24"/>
      <c r="D27" s="23"/>
      <c r="E27" s="24"/>
      <c r="G27" s="23"/>
      <c r="H27" s="24"/>
      <c r="J27" s="23"/>
      <c r="K27" s="24"/>
      <c r="O27" s="33"/>
      <c r="P27" s="33"/>
      <c r="Q27" s="33"/>
      <c r="R27" s="33"/>
      <c r="S27" s="33"/>
      <c r="T27" s="33"/>
      <c r="U27" s="33"/>
      <c r="V27" s="33"/>
    </row>
    <row r="28" spans="1:22" x14ac:dyDescent="0.4">
      <c r="A28" s="23"/>
      <c r="B28" s="24"/>
      <c r="D28" s="23"/>
      <c r="E28" s="24"/>
      <c r="G28" s="23"/>
      <c r="H28" s="24"/>
      <c r="J28" s="23"/>
      <c r="K28" s="24"/>
      <c r="O28" s="33"/>
      <c r="P28" s="33"/>
      <c r="Q28" s="33"/>
      <c r="R28" s="33"/>
      <c r="S28" s="33"/>
      <c r="T28" s="33"/>
      <c r="U28" s="33"/>
      <c r="V28" s="33"/>
    </row>
    <row r="29" spans="1:22" x14ac:dyDescent="0.4">
      <c r="A29" s="23"/>
      <c r="B29" s="24"/>
      <c r="D29" s="23"/>
      <c r="E29" s="24"/>
      <c r="G29" s="23"/>
      <c r="H29" s="24"/>
      <c r="J29" s="23"/>
      <c r="K29" s="24"/>
      <c r="O29" s="33"/>
      <c r="P29" s="33"/>
      <c r="Q29" s="33"/>
      <c r="R29" s="33"/>
      <c r="S29" s="33"/>
      <c r="T29" s="33"/>
      <c r="U29" s="33"/>
      <c r="V29" s="33"/>
    </row>
    <row r="30" spans="1:22" x14ac:dyDescent="0.4">
      <c r="A30" s="23"/>
      <c r="B30" s="24"/>
      <c r="D30" s="23"/>
      <c r="E30" s="24"/>
      <c r="G30" s="23"/>
      <c r="H30" s="24"/>
      <c r="J30" s="23"/>
      <c r="K30" s="24"/>
      <c r="O30" s="33"/>
      <c r="P30" s="33"/>
      <c r="Q30" s="33"/>
      <c r="R30" s="33"/>
      <c r="S30" s="33"/>
      <c r="T30" s="33"/>
      <c r="U30" s="33"/>
      <c r="V30" s="33"/>
    </row>
    <row r="31" spans="1:22" x14ac:dyDescent="0.4">
      <c r="A31" s="23"/>
      <c r="B31" s="24"/>
      <c r="D31" s="23"/>
      <c r="E31" s="24"/>
      <c r="G31" s="23"/>
      <c r="H31" s="24"/>
      <c r="J31" s="23"/>
      <c r="K31" s="24"/>
      <c r="O31" s="33"/>
      <c r="P31" s="33"/>
      <c r="Q31" s="33"/>
      <c r="R31" s="33"/>
      <c r="S31" s="33"/>
      <c r="T31" s="33"/>
      <c r="U31" s="33"/>
      <c r="V31" s="33"/>
    </row>
    <row r="32" spans="1:22" x14ac:dyDescent="0.4">
      <c r="A32" s="23"/>
      <c r="B32" s="24"/>
      <c r="D32" s="23"/>
      <c r="E32" s="24"/>
      <c r="G32" s="23"/>
      <c r="H32" s="24"/>
      <c r="J32" s="23"/>
      <c r="K32" s="24"/>
      <c r="O32" s="33"/>
      <c r="P32" s="33"/>
      <c r="Q32" s="33"/>
      <c r="R32" s="33"/>
      <c r="S32" s="33"/>
      <c r="T32" s="33"/>
      <c r="U32" s="33"/>
      <c r="V32" s="33"/>
    </row>
    <row r="33" spans="1:22" x14ac:dyDescent="0.4">
      <c r="A33" s="23"/>
      <c r="B33" s="24"/>
      <c r="D33" s="23"/>
      <c r="E33" s="24"/>
      <c r="G33" s="23"/>
      <c r="H33" s="24"/>
      <c r="J33" s="23"/>
      <c r="K33" s="24"/>
      <c r="O33" s="33"/>
      <c r="P33" s="33"/>
      <c r="Q33" s="33"/>
      <c r="R33" s="33"/>
      <c r="S33" s="33"/>
      <c r="T33" s="33"/>
      <c r="U33" s="33"/>
      <c r="V33" s="33"/>
    </row>
    <row r="34" spans="1:22" x14ac:dyDescent="0.4">
      <c r="A34" s="23"/>
      <c r="B34" s="24"/>
      <c r="D34" s="23"/>
      <c r="E34" s="24"/>
      <c r="G34" s="23"/>
      <c r="H34" s="24"/>
      <c r="J34" s="23"/>
      <c r="K34" s="24"/>
      <c r="O34" s="33"/>
      <c r="P34" s="33"/>
      <c r="Q34" s="33"/>
      <c r="R34" s="33"/>
      <c r="S34" s="33"/>
      <c r="T34" s="33"/>
      <c r="U34" s="33"/>
      <c r="V34" s="33"/>
    </row>
    <row r="35" spans="1:22" x14ac:dyDescent="0.4">
      <c r="A35" s="23"/>
      <c r="B35" s="24"/>
      <c r="D35" s="23"/>
      <c r="E35" s="24"/>
      <c r="G35" s="23"/>
      <c r="H35" s="24"/>
      <c r="J35" s="23"/>
      <c r="K35" s="24"/>
      <c r="O35" s="33"/>
      <c r="P35" s="33"/>
      <c r="Q35" s="33"/>
      <c r="R35" s="33"/>
      <c r="S35" s="33"/>
      <c r="T35" s="33"/>
      <c r="U35" s="33"/>
      <c r="V35" s="33"/>
    </row>
    <row r="36" spans="1:22" x14ac:dyDescent="0.4">
      <c r="A36" s="23"/>
      <c r="B36" s="24"/>
      <c r="D36" s="23"/>
      <c r="E36" s="24"/>
      <c r="G36" s="23"/>
      <c r="H36" s="24"/>
      <c r="J36" s="23"/>
      <c r="K36" s="24"/>
      <c r="O36" s="33"/>
      <c r="P36" s="33"/>
      <c r="Q36" s="33"/>
      <c r="R36" s="33"/>
      <c r="S36" s="33"/>
      <c r="T36" s="33"/>
      <c r="U36" s="33"/>
      <c r="V36" s="33"/>
    </row>
    <row r="37" spans="1:22" x14ac:dyDescent="0.4">
      <c r="A37" s="23"/>
      <c r="B37" s="24"/>
      <c r="D37" s="23"/>
      <c r="E37" s="24"/>
      <c r="G37" s="23"/>
      <c r="H37" s="24"/>
      <c r="J37" s="23"/>
      <c r="K37" s="24"/>
      <c r="O37" s="33"/>
      <c r="P37" s="33"/>
      <c r="Q37" s="33"/>
      <c r="R37" s="33"/>
      <c r="S37" s="33"/>
      <c r="T37" s="33"/>
      <c r="U37" s="33"/>
      <c r="V37" s="33"/>
    </row>
    <row r="38" spans="1:22" x14ac:dyDescent="0.4">
      <c r="A38" s="23"/>
      <c r="B38" s="24"/>
      <c r="D38" s="23"/>
      <c r="E38" s="24"/>
      <c r="G38" s="23"/>
      <c r="H38" s="24"/>
      <c r="J38" s="23"/>
      <c r="K38" s="24"/>
      <c r="O38" s="33"/>
      <c r="P38" s="33"/>
      <c r="Q38" s="33"/>
      <c r="R38" s="33"/>
      <c r="S38" s="33"/>
      <c r="T38" s="33"/>
      <c r="U38" s="33"/>
      <c r="V38" s="33"/>
    </row>
    <row r="39" spans="1:22" x14ac:dyDescent="0.4">
      <c r="A39" s="23"/>
      <c r="B39" s="24"/>
      <c r="D39" s="23"/>
      <c r="E39" s="24"/>
      <c r="G39" s="23"/>
      <c r="H39" s="24"/>
      <c r="J39" s="23"/>
      <c r="K39" s="24"/>
      <c r="O39" s="33"/>
      <c r="P39" s="33"/>
      <c r="Q39" s="33"/>
      <c r="R39" s="33"/>
      <c r="S39" s="33"/>
      <c r="T39" s="33"/>
      <c r="U39" s="33"/>
      <c r="V39" s="33"/>
    </row>
    <row r="40" spans="1:22" x14ac:dyDescent="0.4">
      <c r="A40" s="23"/>
      <c r="B40" s="24"/>
      <c r="D40" s="23"/>
      <c r="E40" s="24"/>
      <c r="G40" s="23"/>
      <c r="H40" s="24"/>
      <c r="J40" s="23"/>
      <c r="K40" s="24"/>
      <c r="O40" s="33"/>
      <c r="P40" s="33"/>
      <c r="Q40" s="33"/>
      <c r="R40" s="33"/>
      <c r="S40" s="33"/>
      <c r="T40" s="33"/>
      <c r="U40" s="33"/>
      <c r="V40" s="33"/>
    </row>
    <row r="41" spans="1:22" x14ac:dyDescent="0.4">
      <c r="A41" s="23"/>
      <c r="B41" s="24"/>
      <c r="D41" s="23"/>
      <c r="E41" s="24"/>
      <c r="G41" s="23"/>
      <c r="H41" s="24"/>
      <c r="J41" s="23"/>
      <c r="K41" s="24"/>
      <c r="O41" s="33"/>
      <c r="P41" s="33"/>
      <c r="Q41" s="33"/>
      <c r="R41" s="33"/>
      <c r="S41" s="33"/>
      <c r="T41" s="33"/>
      <c r="U41" s="33"/>
      <c r="V41" s="33"/>
    </row>
    <row r="42" spans="1:22" x14ac:dyDescent="0.4">
      <c r="A42" s="23"/>
      <c r="B42" s="24"/>
      <c r="D42" s="23"/>
      <c r="E42" s="24"/>
      <c r="G42" s="23"/>
      <c r="H42" s="24"/>
      <c r="J42" s="23"/>
      <c r="K42" s="24"/>
      <c r="O42" s="33"/>
      <c r="P42" s="33"/>
      <c r="Q42" s="33"/>
      <c r="R42" s="33"/>
      <c r="S42" s="33"/>
      <c r="T42" s="33"/>
      <c r="U42" s="33"/>
      <c r="V42" s="33"/>
    </row>
    <row r="43" spans="1:22" x14ac:dyDescent="0.4">
      <c r="A43" s="23"/>
      <c r="B43" s="24"/>
      <c r="D43" s="23"/>
      <c r="E43" s="24"/>
      <c r="G43" s="23"/>
      <c r="H43" s="24"/>
      <c r="J43" s="23"/>
      <c r="K43" s="24"/>
      <c r="O43" s="33"/>
      <c r="P43" s="33"/>
      <c r="Q43" s="33"/>
      <c r="R43" s="33"/>
      <c r="S43" s="33"/>
      <c r="T43" s="33"/>
      <c r="U43" s="33"/>
      <c r="V43" s="33"/>
    </row>
    <row r="44" spans="1:22" x14ac:dyDescent="0.4">
      <c r="A44" s="23"/>
      <c r="B44" s="24"/>
      <c r="D44" s="23"/>
      <c r="E44" s="24"/>
      <c r="G44" s="23"/>
      <c r="H44" s="24"/>
      <c r="J44" s="23"/>
      <c r="K44" s="24"/>
      <c r="O44" s="33"/>
      <c r="P44" s="33"/>
      <c r="Q44" s="33"/>
      <c r="R44" s="33"/>
      <c r="S44" s="33"/>
      <c r="T44" s="33"/>
      <c r="U44" s="33"/>
      <c r="V44" s="33"/>
    </row>
    <row r="45" spans="1:22" x14ac:dyDescent="0.4">
      <c r="A45" s="23"/>
      <c r="B45" s="24"/>
      <c r="D45" s="23"/>
      <c r="E45" s="24"/>
      <c r="G45" s="23"/>
      <c r="H45" s="24"/>
      <c r="J45" s="23"/>
      <c r="K45" s="24"/>
      <c r="O45" s="33"/>
      <c r="P45" s="33"/>
      <c r="Q45" s="33"/>
      <c r="R45" s="33"/>
      <c r="S45" s="33"/>
      <c r="T45" s="33"/>
      <c r="U45" s="33"/>
      <c r="V45" s="33"/>
    </row>
    <row r="46" spans="1:22" x14ac:dyDescent="0.4">
      <c r="A46" s="23"/>
      <c r="B46" s="24"/>
      <c r="D46" s="23"/>
      <c r="E46" s="24"/>
      <c r="G46" s="23"/>
      <c r="H46" s="24"/>
      <c r="J46" s="23"/>
      <c r="K46" s="24"/>
      <c r="O46" s="33"/>
      <c r="P46" s="33"/>
      <c r="Q46" s="33"/>
      <c r="R46" s="33"/>
      <c r="S46" s="33"/>
      <c r="T46" s="33"/>
      <c r="U46" s="33"/>
      <c r="V46" s="33"/>
    </row>
    <row r="47" spans="1:22" x14ac:dyDescent="0.4">
      <c r="A47" s="23"/>
      <c r="B47" s="24"/>
      <c r="D47" s="23"/>
      <c r="E47" s="24"/>
      <c r="G47" s="23"/>
      <c r="H47" s="24"/>
      <c r="J47" s="23"/>
      <c r="K47" s="24"/>
      <c r="O47" s="33"/>
      <c r="P47" s="33"/>
      <c r="Q47" s="33"/>
      <c r="R47" s="33"/>
      <c r="S47" s="33"/>
      <c r="T47" s="33"/>
      <c r="U47" s="33"/>
      <c r="V47" s="33"/>
    </row>
    <row r="48" spans="1:22" x14ac:dyDescent="0.4">
      <c r="A48" s="23"/>
      <c r="B48" s="24"/>
      <c r="D48" s="23"/>
      <c r="E48" s="24"/>
      <c r="G48" s="23"/>
      <c r="H48" s="24"/>
      <c r="J48" s="23"/>
      <c r="K48" s="24"/>
      <c r="O48" t="s">
        <v>144</v>
      </c>
    </row>
    <row r="49" spans="1:11" x14ac:dyDescent="0.4">
      <c r="A49" s="23"/>
      <c r="B49" s="24"/>
      <c r="D49" s="23"/>
      <c r="E49" s="24"/>
      <c r="G49" s="23"/>
      <c r="H49" s="24"/>
      <c r="J49" s="23"/>
      <c r="K49" s="24"/>
    </row>
    <row r="50" spans="1:11" x14ac:dyDescent="0.4">
      <c r="A50" s="23"/>
      <c r="B50" s="24"/>
      <c r="D50" s="23"/>
      <c r="E50" s="24"/>
      <c r="G50" s="23"/>
      <c r="H50" s="24"/>
      <c r="J50" s="23"/>
      <c r="K50" s="24"/>
    </row>
    <row r="51" spans="1:11" x14ac:dyDescent="0.4">
      <c r="A51" s="23"/>
      <c r="B51" s="24"/>
      <c r="D51" s="23"/>
      <c r="E51" s="24"/>
      <c r="G51" s="23"/>
      <c r="H51" s="24"/>
      <c r="J51" s="23"/>
      <c r="K51" s="24"/>
    </row>
    <row r="52" spans="1:11" x14ac:dyDescent="0.4">
      <c r="A52" s="23"/>
      <c r="B52" s="24"/>
      <c r="D52" s="23"/>
      <c r="E52" s="24"/>
      <c r="G52" s="23"/>
      <c r="H52" s="24"/>
      <c r="J52" s="23"/>
      <c r="K52" s="24"/>
    </row>
    <row r="53" spans="1:11" x14ac:dyDescent="0.4">
      <c r="A53" s="25"/>
      <c r="B53" s="26"/>
      <c r="D53" s="25"/>
      <c r="E53" s="26"/>
      <c r="G53" s="25"/>
      <c r="H53" s="26"/>
      <c r="J53" s="25"/>
      <c r="K53" s="26"/>
    </row>
  </sheetData>
  <mergeCells count="2">
    <mergeCell ref="D1:K2"/>
    <mergeCell ref="O4:Z16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13964-BC75-47D3-9F30-9C3529EF4831}">
  <sheetPr codeName="Sheet3"/>
  <dimension ref="A1:K28"/>
  <sheetViews>
    <sheetView zoomScale="115" zoomScaleNormal="115" workbookViewId="0">
      <selection activeCell="I17" sqref="I17"/>
    </sheetView>
  </sheetViews>
  <sheetFormatPr defaultColWidth="11.09765625" defaultRowHeight="17.399999999999999" x14ac:dyDescent="0.4"/>
  <cols>
    <col min="1" max="16384" width="11.09765625" style="3"/>
  </cols>
  <sheetData>
    <row r="1" spans="1:11" x14ac:dyDescent="0.4">
      <c r="A1" s="1" t="s">
        <v>81</v>
      </c>
      <c r="B1" s="1" t="s">
        <v>52</v>
      </c>
      <c r="C1" s="1" t="s">
        <v>53</v>
      </c>
      <c r="D1" s="1" t="s">
        <v>83</v>
      </c>
      <c r="E1" s="1" t="s">
        <v>84</v>
      </c>
      <c r="F1" s="1" t="s">
        <v>55</v>
      </c>
      <c r="G1" s="1" t="s">
        <v>54</v>
      </c>
      <c r="H1" s="1" t="s">
        <v>110</v>
      </c>
      <c r="K1" s="15"/>
    </row>
    <row r="2" spans="1:11" x14ac:dyDescent="0.4">
      <c r="A2" s="2" t="s">
        <v>93</v>
      </c>
      <c r="B2" s="10">
        <v>45288</v>
      </c>
      <c r="C2" s="2" t="s">
        <v>56</v>
      </c>
      <c r="D2" s="2" t="s">
        <v>85</v>
      </c>
      <c r="E2" s="2" t="s">
        <v>85</v>
      </c>
      <c r="F2" s="2">
        <v>1</v>
      </c>
      <c r="G2" s="5"/>
      <c r="H2" s="2" t="str">
        <f>IF(ISBLANK('Market Data'!O2), "official",  'Market Data'!O2)</f>
        <v>HS_1</v>
      </c>
      <c r="K2" s="14"/>
    </row>
    <row r="4" spans="1:11" x14ac:dyDescent="0.4">
      <c r="A4" s="51" t="s">
        <v>57</v>
      </c>
      <c r="B4" s="1" t="s">
        <v>58</v>
      </c>
      <c r="C4" s="1" t="s">
        <v>59</v>
      </c>
      <c r="D4" s="1" t="s">
        <v>60</v>
      </c>
      <c r="E4" s="1" t="s">
        <v>61</v>
      </c>
    </row>
    <row r="5" spans="1:11" x14ac:dyDescent="0.4">
      <c r="A5" s="52"/>
      <c r="B5" s="5"/>
      <c r="C5" s="5"/>
      <c r="D5" s="5"/>
      <c r="E5" s="5"/>
    </row>
    <row r="8" spans="1:11" x14ac:dyDescent="0.4">
      <c r="A8" s="20" t="s">
        <v>94</v>
      </c>
      <c r="B8" s="19"/>
    </row>
    <row r="9" spans="1:11" x14ac:dyDescent="0.4">
      <c r="A9" s="5" t="s">
        <v>95</v>
      </c>
      <c r="B9" s="5"/>
    </row>
    <row r="10" spans="1:11" x14ac:dyDescent="0.4">
      <c r="A10" s="5" t="s">
        <v>96</v>
      </c>
      <c r="B10" s="5"/>
    </row>
    <row r="11" spans="1:11" x14ac:dyDescent="0.4">
      <c r="A11" s="5" t="s">
        <v>97</v>
      </c>
      <c r="B11" s="5"/>
    </row>
    <row r="12" spans="1:11" x14ac:dyDescent="0.4">
      <c r="A12" s="5" t="s">
        <v>98</v>
      </c>
      <c r="B12" s="5"/>
    </row>
    <row r="13" spans="1:11" x14ac:dyDescent="0.4">
      <c r="A13" s="5" t="s">
        <v>99</v>
      </c>
      <c r="B13" s="5"/>
    </row>
    <row r="14" spans="1:11" x14ac:dyDescent="0.4">
      <c r="A14" s="5" t="s">
        <v>100</v>
      </c>
      <c r="B14" s="5"/>
    </row>
    <row r="15" spans="1:11" x14ac:dyDescent="0.4">
      <c r="A15" s="5" t="s">
        <v>101</v>
      </c>
      <c r="B15" s="5"/>
    </row>
    <row r="16" spans="1:11" x14ac:dyDescent="0.4">
      <c r="A16" s="5" t="s">
        <v>102</v>
      </c>
      <c r="B16" s="5"/>
    </row>
    <row r="17" spans="1:2" x14ac:dyDescent="0.4">
      <c r="A17" s="5" t="s">
        <v>103</v>
      </c>
      <c r="B17" s="5"/>
    </row>
    <row r="18" spans="1:2" x14ac:dyDescent="0.4">
      <c r="A18" s="5" t="s">
        <v>104</v>
      </c>
      <c r="B18" s="5"/>
    </row>
    <row r="19" spans="1:2" x14ac:dyDescent="0.4">
      <c r="A19" s="5" t="s">
        <v>105</v>
      </c>
      <c r="B19" s="5"/>
    </row>
    <row r="20" spans="1:2" x14ac:dyDescent="0.4">
      <c r="A20" s="5" t="s">
        <v>106</v>
      </c>
      <c r="B20" s="5"/>
    </row>
    <row r="21" spans="1:2" x14ac:dyDescent="0.4">
      <c r="A21" s="5" t="s">
        <v>107</v>
      </c>
      <c r="B21" s="5"/>
    </row>
    <row r="22" spans="1:2" x14ac:dyDescent="0.4">
      <c r="A22" s="5" t="s">
        <v>108</v>
      </c>
      <c r="B22" s="5"/>
    </row>
    <row r="23" spans="1:2" x14ac:dyDescent="0.4">
      <c r="A23" s="5" t="s">
        <v>109</v>
      </c>
      <c r="B23" s="5"/>
    </row>
    <row r="24" spans="1:2" x14ac:dyDescent="0.4">
      <c r="A24" s="5"/>
      <c r="B24" s="5"/>
    </row>
    <row r="25" spans="1:2" x14ac:dyDescent="0.4">
      <c r="A25" s="5"/>
      <c r="B25" s="5"/>
    </row>
    <row r="26" spans="1:2" x14ac:dyDescent="0.4">
      <c r="A26" s="5"/>
      <c r="B26" s="5"/>
    </row>
    <row r="27" spans="1:2" x14ac:dyDescent="0.4">
      <c r="A27" s="5"/>
      <c r="B27" s="5"/>
    </row>
    <row r="28" spans="1:2" x14ac:dyDescent="0.4">
      <c r="A28" s="5"/>
      <c r="B28" s="5"/>
    </row>
  </sheetData>
  <mergeCells count="1">
    <mergeCell ref="A4:A5"/>
  </mergeCells>
  <phoneticPr fontId="1" type="noConversion"/>
  <dataValidations disablePrompts="1" count="2">
    <dataValidation type="list" allowBlank="1" showInputMessage="1" showErrorMessage="1" sqref="C2" xr:uid="{6CC4A8A1-6F52-406D-B4AE-FDD7CBB05E80}">
      <formula1>"P, G, CF, GNCF"</formula1>
    </dataValidation>
    <dataValidation type="list" allowBlank="1" showInputMessage="1" showErrorMessage="1" sqref="F2" xr:uid="{34F6E1E2-927F-4BA3-9130-57D56566B3E0}">
      <formula1>"1, 2, 3, 4, 5"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21E5-563F-4E39-9687-4A03E53C5962}">
  <sheetPr codeName="Sheet7"/>
  <dimension ref="A1:AR41"/>
  <sheetViews>
    <sheetView tabSelected="1" zoomScaleNormal="100" workbookViewId="0">
      <selection activeCell="G28" sqref="G28"/>
    </sheetView>
  </sheetViews>
  <sheetFormatPr defaultColWidth="14.59765625" defaultRowHeight="17.399999999999999" x14ac:dyDescent="0.4"/>
  <cols>
    <col min="1" max="2" width="14.59765625" style="11"/>
    <col min="4" max="4" width="17.8984375" bestFit="1" customWidth="1"/>
    <col min="11" max="11" width="25.19921875" bestFit="1" customWidth="1"/>
    <col min="12" max="12" width="17.3984375" customWidth="1"/>
    <col min="13" max="13" width="11.09765625" bestFit="1" customWidth="1"/>
    <col min="14" max="15" width="18" bestFit="1" customWidth="1"/>
    <col min="17" max="17" width="14.09765625" bestFit="1" customWidth="1"/>
    <col min="18" max="18" width="14.09765625" customWidth="1"/>
    <col min="19" max="19" width="11.09765625" bestFit="1" customWidth="1"/>
    <col min="20" max="20" width="21.3984375" bestFit="1" customWidth="1"/>
    <col min="21" max="21" width="20.59765625" bestFit="1" customWidth="1"/>
    <col min="22" max="22" width="14.19921875" bestFit="1" customWidth="1"/>
    <col min="23" max="23" width="14.19921875" customWidth="1"/>
    <col min="24" max="24" width="24.09765625" bestFit="1" customWidth="1"/>
    <col min="25" max="25" width="23.5" bestFit="1" customWidth="1"/>
    <col min="26" max="30" width="23.5" customWidth="1"/>
  </cols>
  <sheetData>
    <row r="1" spans="1:44" x14ac:dyDescent="0.4">
      <c r="A1" s="1" t="s">
        <v>52</v>
      </c>
      <c r="B1" s="1" t="s">
        <v>53</v>
      </c>
      <c r="C1" s="1" t="s">
        <v>54</v>
      </c>
      <c r="D1" s="1" t="s">
        <v>111</v>
      </c>
      <c r="G1" s="3"/>
      <c r="I1" s="3"/>
    </row>
    <row r="2" spans="1:44" ht="16.5" customHeight="1" x14ac:dyDescent="0.4">
      <c r="A2" s="10">
        <v>45263</v>
      </c>
      <c r="B2" s="2" t="s">
        <v>56</v>
      </c>
      <c r="C2" s="5"/>
      <c r="D2" s="2" t="s">
        <v>112</v>
      </c>
      <c r="G2" s="3"/>
      <c r="I2" s="3"/>
      <c r="Q2" s="53" t="s">
        <v>138</v>
      </c>
      <c r="R2" s="54"/>
      <c r="S2" s="54"/>
      <c r="T2" s="54"/>
      <c r="U2" s="54"/>
      <c r="V2" s="54"/>
      <c r="W2" s="54"/>
      <c r="X2" s="54"/>
      <c r="Y2" s="55"/>
      <c r="Z2" s="35"/>
      <c r="AA2" s="35"/>
      <c r="AB2" s="35"/>
      <c r="AC2" s="35"/>
      <c r="AD2" s="35"/>
      <c r="AH2" s="36"/>
      <c r="AI2" s="33"/>
      <c r="AJ2" s="33"/>
      <c r="AK2" s="33"/>
      <c r="AL2" s="33"/>
      <c r="AM2" s="33"/>
      <c r="AN2" s="33"/>
    </row>
    <row r="3" spans="1:44" x14ac:dyDescent="0.4">
      <c r="A3" s="4"/>
      <c r="B3" s="4"/>
      <c r="C3" s="3"/>
      <c r="D3" s="3"/>
      <c r="E3" s="3"/>
      <c r="F3" s="3"/>
      <c r="G3" s="3"/>
      <c r="I3" s="3"/>
      <c r="Q3" s="56"/>
      <c r="R3" s="57"/>
      <c r="S3" s="57"/>
      <c r="T3" s="57"/>
      <c r="U3" s="57"/>
      <c r="V3" s="57"/>
      <c r="W3" s="57"/>
      <c r="X3" s="57"/>
      <c r="Y3" s="58"/>
      <c r="Z3" s="35"/>
      <c r="AA3" s="35"/>
      <c r="AB3" s="35"/>
      <c r="AC3" s="35"/>
      <c r="AD3" s="35"/>
      <c r="AH3" s="33"/>
      <c r="AI3" s="33"/>
      <c r="AJ3" s="33"/>
      <c r="AK3" s="33"/>
      <c r="AL3" s="33"/>
      <c r="AM3" s="33"/>
      <c r="AN3" s="33"/>
    </row>
    <row r="4" spans="1:44" x14ac:dyDescent="0.4">
      <c r="A4" s="51" t="s">
        <v>57</v>
      </c>
      <c r="B4" s="1" t="s">
        <v>60</v>
      </c>
      <c r="C4" s="1" t="s">
        <v>61</v>
      </c>
      <c r="G4" s="3"/>
      <c r="I4" s="3"/>
      <c r="Q4" s="56"/>
      <c r="R4" s="57"/>
      <c r="S4" s="57"/>
      <c r="T4" s="57"/>
      <c r="U4" s="57"/>
      <c r="V4" s="57"/>
      <c r="W4" s="57"/>
      <c r="X4" s="57"/>
      <c r="Y4" s="58"/>
      <c r="Z4" s="35"/>
      <c r="AA4" s="35"/>
      <c r="AB4" s="35"/>
      <c r="AC4" s="35"/>
      <c r="AD4" s="35"/>
      <c r="AH4" s="33"/>
      <c r="AI4" s="33"/>
      <c r="AJ4" s="33"/>
      <c r="AK4" s="33"/>
      <c r="AL4" s="33"/>
      <c r="AM4" s="33"/>
      <c r="AN4" s="33"/>
    </row>
    <row r="5" spans="1:44" x14ac:dyDescent="0.4">
      <c r="A5" s="52"/>
      <c r="B5" s="5"/>
      <c r="C5" s="5"/>
      <c r="G5" s="3"/>
      <c r="I5" s="3"/>
      <c r="Q5" s="56"/>
      <c r="R5" s="57"/>
      <c r="S5" s="57"/>
      <c r="T5" s="57"/>
      <c r="U5" s="57"/>
      <c r="V5" s="57"/>
      <c r="W5" s="57"/>
      <c r="X5" s="57"/>
      <c r="Y5" s="58"/>
      <c r="Z5" s="35"/>
      <c r="AA5" s="35"/>
      <c r="AB5" s="35"/>
      <c r="AC5" s="35"/>
      <c r="AD5" s="35"/>
      <c r="AH5" s="33"/>
      <c r="AI5" s="33"/>
      <c r="AJ5" s="33"/>
      <c r="AK5" s="33"/>
      <c r="AL5" s="33"/>
      <c r="AM5" s="33"/>
      <c r="AN5" s="33"/>
    </row>
    <row r="6" spans="1:44" ht="16.5" customHeight="1" x14ac:dyDescent="0.4">
      <c r="Q6" s="56"/>
      <c r="R6" s="57"/>
      <c r="S6" s="57"/>
      <c r="T6" s="57"/>
      <c r="U6" s="57"/>
      <c r="V6" s="57"/>
      <c r="W6" s="57"/>
      <c r="X6" s="57"/>
      <c r="Y6" s="58"/>
      <c r="Z6" s="35"/>
      <c r="AA6" s="35"/>
      <c r="AB6" s="35"/>
      <c r="AC6" s="35"/>
      <c r="AD6" s="35"/>
      <c r="AH6" s="48" t="s">
        <v>172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</row>
    <row r="7" spans="1:44" x14ac:dyDescent="0.4">
      <c r="Q7" s="59"/>
      <c r="R7" s="60"/>
      <c r="S7" s="60"/>
      <c r="T7" s="60"/>
      <c r="U7" s="60"/>
      <c r="V7" s="60"/>
      <c r="W7" s="60"/>
      <c r="X7" s="60"/>
      <c r="Y7" s="61"/>
      <c r="Z7" s="35"/>
      <c r="AA7" s="35"/>
      <c r="AB7" s="35"/>
      <c r="AC7" s="35"/>
      <c r="AD7" s="35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</row>
    <row r="8" spans="1:44" x14ac:dyDescent="0.4">
      <c r="A8" s="12" t="s">
        <v>63</v>
      </c>
      <c r="B8" s="13">
        <f>COUNTA(A10:A139)</f>
        <v>8</v>
      </c>
      <c r="M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F8" t="s">
        <v>80</v>
      </c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</row>
    <row r="9" spans="1:44" s="4" customFormat="1" ht="34.799999999999997" x14ac:dyDescent="0.4">
      <c r="A9" s="37" t="s">
        <v>62</v>
      </c>
      <c r="B9" s="37" t="s">
        <v>158</v>
      </c>
      <c r="C9" s="37" t="s">
        <v>64</v>
      </c>
      <c r="D9" s="37" t="s">
        <v>65</v>
      </c>
      <c r="E9" s="37" t="s">
        <v>66</v>
      </c>
      <c r="F9" s="37" t="s">
        <v>67</v>
      </c>
      <c r="G9" s="37" t="s">
        <v>75</v>
      </c>
      <c r="H9" s="37" t="s">
        <v>68</v>
      </c>
      <c r="I9" s="37" t="s">
        <v>69</v>
      </c>
      <c r="J9" s="37" t="s">
        <v>70</v>
      </c>
      <c r="K9" s="37" t="s">
        <v>113</v>
      </c>
      <c r="L9" s="37" t="s">
        <v>157</v>
      </c>
      <c r="M9" s="37" t="s">
        <v>71</v>
      </c>
      <c r="N9" s="37" t="s">
        <v>116</v>
      </c>
      <c r="O9" s="37" t="s">
        <v>73</v>
      </c>
      <c r="P9" s="37" t="s">
        <v>72</v>
      </c>
      <c r="Q9" s="37" t="s">
        <v>117</v>
      </c>
      <c r="R9" s="37" t="s">
        <v>119</v>
      </c>
      <c r="S9" s="37" t="s">
        <v>120</v>
      </c>
      <c r="T9" s="37" t="s">
        <v>136</v>
      </c>
      <c r="U9" s="37" t="s">
        <v>123</v>
      </c>
      <c r="V9" s="37" t="s">
        <v>121</v>
      </c>
      <c r="W9" s="37" t="s">
        <v>122</v>
      </c>
      <c r="X9" s="37" t="s">
        <v>137</v>
      </c>
      <c r="Y9" s="37" t="s">
        <v>124</v>
      </c>
      <c r="Z9" s="37" t="s">
        <v>162</v>
      </c>
      <c r="AA9" s="37" t="s">
        <v>159</v>
      </c>
      <c r="AB9" s="37" t="s">
        <v>166</v>
      </c>
      <c r="AC9" s="38" t="s">
        <v>167</v>
      </c>
      <c r="AD9" s="37" t="s">
        <v>164</v>
      </c>
      <c r="AE9" s="37" t="s">
        <v>74</v>
      </c>
      <c r="AF9" s="37" t="s">
        <v>79</v>
      </c>
      <c r="AG9" s="39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</row>
    <row r="10" spans="1:44" x14ac:dyDescent="0.4">
      <c r="A10" s="12">
        <v>1</v>
      </c>
      <c r="B10" s="12"/>
      <c r="C10" s="12">
        <v>20231218</v>
      </c>
      <c r="D10" s="13" t="s">
        <v>76</v>
      </c>
      <c r="E10" s="13">
        <v>6</v>
      </c>
      <c r="F10" s="13">
        <v>2</v>
      </c>
      <c r="G10" s="13">
        <v>1</v>
      </c>
      <c r="H10" s="13" t="s">
        <v>38</v>
      </c>
      <c r="I10" s="13" t="s">
        <v>77</v>
      </c>
      <c r="J10" s="13"/>
      <c r="K10" s="13" t="s">
        <v>114</v>
      </c>
      <c r="L10" s="13"/>
      <c r="M10" s="13">
        <v>6.2</v>
      </c>
      <c r="N10" s="13"/>
      <c r="O10" s="13">
        <v>100</v>
      </c>
      <c r="P10" s="13">
        <v>50</v>
      </c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 t="s">
        <v>78</v>
      </c>
      <c r="AF10" s="13"/>
      <c r="AG10" s="14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</row>
    <row r="11" spans="1:44" x14ac:dyDescent="0.4">
      <c r="A11" s="12">
        <v>2</v>
      </c>
      <c r="B11" s="12"/>
      <c r="C11" s="12">
        <v>20231218</v>
      </c>
      <c r="D11" s="13" t="s">
        <v>173</v>
      </c>
      <c r="E11" s="13">
        <v>6</v>
      </c>
      <c r="F11" s="13">
        <v>2</v>
      </c>
      <c r="G11" s="13">
        <v>1</v>
      </c>
      <c r="H11" s="13" t="s">
        <v>38</v>
      </c>
      <c r="I11" s="13" t="s">
        <v>40</v>
      </c>
      <c r="J11" s="13"/>
      <c r="K11" s="13" t="s">
        <v>115</v>
      </c>
      <c r="L11" s="13"/>
      <c r="M11" s="13">
        <v>6.2</v>
      </c>
      <c r="N11" s="13">
        <v>6.2</v>
      </c>
      <c r="O11" s="13">
        <v>100</v>
      </c>
      <c r="P11" s="13">
        <v>50</v>
      </c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 t="s">
        <v>78</v>
      </c>
      <c r="AF11" s="13"/>
      <c r="AG11" s="14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</row>
    <row r="12" spans="1:44" x14ac:dyDescent="0.4">
      <c r="A12" s="12">
        <v>3</v>
      </c>
      <c r="B12" s="12"/>
      <c r="C12" s="12">
        <v>20231218</v>
      </c>
      <c r="D12" s="13" t="s">
        <v>118</v>
      </c>
      <c r="E12" s="13">
        <v>12</v>
      </c>
      <c r="F12" s="13"/>
      <c r="G12" s="13"/>
      <c r="H12" s="13" t="s">
        <v>38</v>
      </c>
      <c r="I12" s="13"/>
      <c r="J12" s="13"/>
      <c r="K12" s="13"/>
      <c r="L12" s="13"/>
      <c r="M12" s="13"/>
      <c r="N12" s="13"/>
      <c r="O12" s="13"/>
      <c r="P12" s="13"/>
      <c r="Q12" s="27">
        <v>102</v>
      </c>
      <c r="R12" s="27">
        <v>100</v>
      </c>
      <c r="S12" s="27">
        <v>100</v>
      </c>
      <c r="T12" s="27">
        <v>120</v>
      </c>
      <c r="U12" s="27">
        <v>2</v>
      </c>
      <c r="V12" s="13"/>
      <c r="W12" s="13"/>
      <c r="X12" s="13"/>
      <c r="Y12" s="13"/>
      <c r="Z12" s="13"/>
      <c r="AA12" s="13"/>
      <c r="AB12" s="13"/>
      <c r="AC12" s="13"/>
      <c r="AD12" s="13"/>
      <c r="AE12" s="13" t="s">
        <v>78</v>
      </c>
      <c r="AF12" s="13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</row>
    <row r="13" spans="1:44" x14ac:dyDescent="0.4">
      <c r="A13" s="12">
        <v>4</v>
      </c>
      <c r="B13" s="12"/>
      <c r="C13" s="12">
        <v>20231218</v>
      </c>
      <c r="D13" s="13" t="s">
        <v>125</v>
      </c>
      <c r="E13" s="13">
        <v>12</v>
      </c>
      <c r="F13" s="13"/>
      <c r="G13" s="13"/>
      <c r="H13" s="13" t="s">
        <v>38</v>
      </c>
      <c r="I13" s="13"/>
      <c r="J13" s="13"/>
      <c r="K13" s="13"/>
      <c r="L13" s="13"/>
      <c r="M13" s="13"/>
      <c r="N13" s="13"/>
      <c r="O13" s="13"/>
      <c r="P13" s="13"/>
      <c r="Q13" s="13">
        <v>100</v>
      </c>
      <c r="R13" s="13">
        <v>100</v>
      </c>
      <c r="S13" s="13">
        <v>34</v>
      </c>
      <c r="T13" s="13">
        <v>120</v>
      </c>
      <c r="U13" s="13">
        <v>0</v>
      </c>
      <c r="V13" s="13">
        <v>100</v>
      </c>
      <c r="W13" s="13">
        <v>34</v>
      </c>
      <c r="X13" s="13">
        <v>80</v>
      </c>
      <c r="Y13" s="13">
        <v>0</v>
      </c>
      <c r="Z13" s="13"/>
      <c r="AA13" s="13"/>
      <c r="AB13" s="13"/>
      <c r="AC13" s="13"/>
      <c r="AD13" s="13"/>
      <c r="AE13" s="13" t="s">
        <v>78</v>
      </c>
      <c r="AF13" s="13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</row>
    <row r="14" spans="1:44" x14ac:dyDescent="0.4">
      <c r="A14" s="12">
        <v>5</v>
      </c>
      <c r="B14" s="12"/>
      <c r="C14" s="12">
        <v>20231218</v>
      </c>
      <c r="D14" s="13" t="s">
        <v>76</v>
      </c>
      <c r="E14" s="13">
        <v>6</v>
      </c>
      <c r="F14" s="13">
        <v>2</v>
      </c>
      <c r="G14" s="13">
        <v>1</v>
      </c>
      <c r="H14" s="13" t="s">
        <v>38</v>
      </c>
      <c r="I14" s="13" t="s">
        <v>77</v>
      </c>
      <c r="J14" s="13"/>
      <c r="K14" s="13" t="s">
        <v>114</v>
      </c>
      <c r="L14" s="13">
        <v>40</v>
      </c>
      <c r="M14" s="13">
        <v>6.2</v>
      </c>
      <c r="N14" s="13"/>
      <c r="O14" s="13">
        <v>100</v>
      </c>
      <c r="P14" s="13">
        <v>50</v>
      </c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 t="s">
        <v>78</v>
      </c>
      <c r="AF14" s="13"/>
      <c r="AG14" s="14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</row>
    <row r="15" spans="1:44" x14ac:dyDescent="0.4">
      <c r="A15" s="12">
        <v>6</v>
      </c>
      <c r="B15" s="12"/>
      <c r="C15" s="12">
        <v>20231218</v>
      </c>
      <c r="D15" s="13" t="s">
        <v>160</v>
      </c>
      <c r="E15" s="13">
        <v>6</v>
      </c>
      <c r="F15" s="13">
        <v>2</v>
      </c>
      <c r="G15" s="13">
        <v>1</v>
      </c>
      <c r="H15" s="13" t="s">
        <v>38</v>
      </c>
      <c r="I15" s="13" t="s">
        <v>77</v>
      </c>
      <c r="J15" s="13"/>
      <c r="K15" s="13" t="s">
        <v>114</v>
      </c>
      <c r="L15" s="13">
        <v>40</v>
      </c>
      <c r="M15" s="13">
        <v>6.2</v>
      </c>
      <c r="N15" s="13"/>
      <c r="O15" s="13">
        <v>100</v>
      </c>
      <c r="P15" s="13">
        <v>50</v>
      </c>
      <c r="Q15" s="13"/>
      <c r="R15" s="13"/>
      <c r="S15" s="13"/>
      <c r="T15" s="13"/>
      <c r="U15" s="13"/>
      <c r="V15" s="13"/>
      <c r="W15" s="13"/>
      <c r="X15" s="13"/>
      <c r="Y15" s="13"/>
      <c r="Z15" s="13" t="s">
        <v>171</v>
      </c>
      <c r="AA15" s="13" t="s">
        <v>161</v>
      </c>
      <c r="AB15" s="13">
        <v>3</v>
      </c>
      <c r="AC15" s="13">
        <v>0.01</v>
      </c>
      <c r="AD15" s="13" t="s">
        <v>165</v>
      </c>
      <c r="AE15" s="13" t="s">
        <v>78</v>
      </c>
      <c r="AF15" s="13"/>
      <c r="AG15" s="14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</row>
    <row r="16" spans="1:44" x14ac:dyDescent="0.4">
      <c r="A16" s="12">
        <v>7</v>
      </c>
      <c r="B16" s="12"/>
      <c r="C16" s="12">
        <v>20231218</v>
      </c>
      <c r="D16" s="13" t="s">
        <v>168</v>
      </c>
      <c r="E16" s="13">
        <v>6</v>
      </c>
      <c r="F16" s="13">
        <v>2</v>
      </c>
      <c r="G16" s="13">
        <v>1</v>
      </c>
      <c r="H16" s="13" t="s">
        <v>38</v>
      </c>
      <c r="I16" s="13" t="s">
        <v>40</v>
      </c>
      <c r="J16" s="13"/>
      <c r="K16" s="13" t="s">
        <v>115</v>
      </c>
      <c r="L16" s="13"/>
      <c r="M16" s="13">
        <v>6.2</v>
      </c>
      <c r="N16" s="13">
        <v>6.2</v>
      </c>
      <c r="O16" s="13">
        <v>100</v>
      </c>
      <c r="P16" s="13">
        <v>50</v>
      </c>
      <c r="Q16" s="13"/>
      <c r="R16" s="13"/>
      <c r="S16" s="13"/>
      <c r="T16" s="13"/>
      <c r="U16" s="13"/>
      <c r="V16" s="13"/>
      <c r="W16" s="13"/>
      <c r="X16" s="13"/>
      <c r="Y16" s="13"/>
      <c r="Z16" s="13" t="s">
        <v>174</v>
      </c>
      <c r="AA16" s="13" t="s">
        <v>161</v>
      </c>
      <c r="AB16" s="13">
        <v>3</v>
      </c>
      <c r="AC16" s="13">
        <v>0.01</v>
      </c>
      <c r="AD16" s="13" t="s">
        <v>165</v>
      </c>
      <c r="AE16" s="13" t="s">
        <v>78</v>
      </c>
      <c r="AF16" s="13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</row>
    <row r="17" spans="1:44" x14ac:dyDescent="0.4">
      <c r="A17" s="12">
        <v>8</v>
      </c>
      <c r="B17" s="12"/>
      <c r="C17" s="12">
        <v>20231218</v>
      </c>
      <c r="D17" s="13" t="s">
        <v>170</v>
      </c>
      <c r="E17" s="13">
        <v>6</v>
      </c>
      <c r="F17" s="13">
        <v>2</v>
      </c>
      <c r="G17" s="13">
        <v>1</v>
      </c>
      <c r="H17" s="13" t="s">
        <v>7</v>
      </c>
      <c r="I17" s="13" t="s">
        <v>12</v>
      </c>
      <c r="J17" s="13"/>
      <c r="K17" s="13" t="s">
        <v>169</v>
      </c>
      <c r="L17" s="13">
        <v>40</v>
      </c>
      <c r="M17" s="13">
        <v>12</v>
      </c>
      <c r="N17" s="13"/>
      <c r="O17" s="13">
        <v>100</v>
      </c>
      <c r="P17" s="13">
        <v>50</v>
      </c>
      <c r="Q17" s="13"/>
      <c r="R17" s="13"/>
      <c r="S17" s="13"/>
      <c r="T17" s="13"/>
      <c r="U17" s="13"/>
      <c r="V17" s="13"/>
      <c r="W17" s="13"/>
      <c r="X17" s="13"/>
      <c r="Y17" s="13"/>
      <c r="Z17" s="13" t="s">
        <v>163</v>
      </c>
      <c r="AA17" s="13" t="s">
        <v>161</v>
      </c>
      <c r="AB17" s="13">
        <v>3</v>
      </c>
      <c r="AC17" s="13">
        <v>0.01</v>
      </c>
      <c r="AD17" s="13" t="s">
        <v>165</v>
      </c>
      <c r="AE17" s="13" t="s">
        <v>78</v>
      </c>
      <c r="AF17" s="13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</row>
    <row r="18" spans="1:44" x14ac:dyDescent="0.4">
      <c r="A18" s="12"/>
      <c r="B18" s="12"/>
      <c r="C18" s="12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</row>
    <row r="19" spans="1:44" x14ac:dyDescent="0.4">
      <c r="A19" s="12"/>
      <c r="B19" s="12"/>
      <c r="C19" s="12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</row>
    <row r="20" spans="1:44" x14ac:dyDescent="0.4">
      <c r="A20" s="12"/>
      <c r="B20" s="12"/>
      <c r="C20" s="12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</row>
    <row r="21" spans="1:44" x14ac:dyDescent="0.4">
      <c r="A21" s="12"/>
      <c r="B21" s="12"/>
      <c r="C21" s="12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</row>
    <row r="22" spans="1:44" x14ac:dyDescent="0.4">
      <c r="A22" s="12"/>
      <c r="B22" s="12"/>
      <c r="C22" s="12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</row>
    <row r="23" spans="1:44" x14ac:dyDescent="0.4">
      <c r="A23" s="12"/>
      <c r="B23" s="12"/>
      <c r="C23" s="12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</row>
    <row r="24" spans="1:44" x14ac:dyDescent="0.4">
      <c r="A24" s="12"/>
      <c r="B24" s="12"/>
      <c r="C24" s="12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</row>
    <row r="25" spans="1:44" x14ac:dyDescent="0.4">
      <c r="A25" s="12"/>
      <c r="B25" s="12"/>
      <c r="C25" s="12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</row>
    <row r="26" spans="1:44" x14ac:dyDescent="0.4">
      <c r="A26" s="12"/>
      <c r="B26" s="12"/>
      <c r="C26" s="12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</row>
    <row r="27" spans="1:44" x14ac:dyDescent="0.4">
      <c r="A27" s="12"/>
      <c r="B27" s="12"/>
      <c r="C27" s="12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</row>
    <row r="28" spans="1:44" x14ac:dyDescent="0.4">
      <c r="A28" s="12"/>
      <c r="B28" s="12"/>
      <c r="C28" s="12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</row>
    <row r="29" spans="1:44" x14ac:dyDescent="0.4">
      <c r="A29" s="12"/>
      <c r="B29" s="12"/>
      <c r="C29" s="12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</row>
    <row r="30" spans="1:44" x14ac:dyDescent="0.4">
      <c r="A30" s="12"/>
      <c r="B30" s="12"/>
      <c r="C30" s="12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H30" s="48"/>
      <c r="AI30" s="48"/>
      <c r="AJ30" s="48"/>
      <c r="AK30" s="48"/>
      <c r="AL30" s="48"/>
      <c r="AM30" s="48"/>
      <c r="AN30" s="48"/>
      <c r="AO30" s="48"/>
      <c r="AP30" s="48"/>
      <c r="AQ30" s="48"/>
      <c r="AR30" s="48"/>
    </row>
    <row r="31" spans="1:44" x14ac:dyDescent="0.4">
      <c r="A31" s="12"/>
      <c r="B31" s="12"/>
      <c r="C31" s="12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H31" s="48"/>
      <c r="AI31" s="48"/>
      <c r="AJ31" s="48"/>
      <c r="AK31" s="48"/>
      <c r="AL31" s="48"/>
      <c r="AM31" s="48"/>
      <c r="AN31" s="48"/>
      <c r="AO31" s="48"/>
      <c r="AP31" s="48"/>
      <c r="AQ31" s="48"/>
      <c r="AR31" s="48"/>
    </row>
    <row r="32" spans="1:44" x14ac:dyDescent="0.4">
      <c r="A32" s="12"/>
      <c r="B32" s="12"/>
      <c r="C32" s="12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H32" s="48"/>
      <c r="AI32" s="48"/>
      <c r="AJ32" s="48"/>
      <c r="AK32" s="48"/>
      <c r="AL32" s="48"/>
      <c r="AM32" s="48"/>
      <c r="AN32" s="48"/>
      <c r="AO32" s="48"/>
      <c r="AP32" s="48"/>
      <c r="AQ32" s="48"/>
      <c r="AR32" s="48"/>
    </row>
    <row r="33" spans="1:44" x14ac:dyDescent="0.4">
      <c r="A33" s="12"/>
      <c r="B33" s="12"/>
      <c r="C33" s="12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H33" s="48"/>
      <c r="AI33" s="48"/>
      <c r="AJ33" s="48"/>
      <c r="AK33" s="48"/>
      <c r="AL33" s="48"/>
      <c r="AM33" s="48"/>
      <c r="AN33" s="48"/>
      <c r="AO33" s="48"/>
      <c r="AP33" s="48"/>
      <c r="AQ33" s="48"/>
      <c r="AR33" s="48"/>
    </row>
    <row r="34" spans="1:44" x14ac:dyDescent="0.4">
      <c r="A34" s="12"/>
      <c r="B34" s="12"/>
      <c r="C34" s="12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H34" s="48"/>
      <c r="AI34" s="48"/>
      <c r="AJ34" s="48"/>
      <c r="AK34" s="48"/>
      <c r="AL34" s="48"/>
      <c r="AM34" s="48"/>
      <c r="AN34" s="48"/>
      <c r="AO34" s="48"/>
      <c r="AP34" s="48"/>
      <c r="AQ34" s="48"/>
      <c r="AR34" s="48"/>
    </row>
    <row r="35" spans="1:44" x14ac:dyDescent="0.4">
      <c r="A35" s="12"/>
      <c r="B35" s="12"/>
      <c r="C35" s="12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H35" s="48"/>
      <c r="AI35" s="48"/>
      <c r="AJ35" s="48"/>
      <c r="AK35" s="48"/>
      <c r="AL35" s="48"/>
      <c r="AM35" s="48"/>
      <c r="AN35" s="48"/>
      <c r="AO35" s="48"/>
      <c r="AP35" s="48"/>
      <c r="AQ35" s="48"/>
      <c r="AR35" s="48"/>
    </row>
    <row r="36" spans="1:44" x14ac:dyDescent="0.4">
      <c r="A36" s="12"/>
      <c r="B36" s="12"/>
      <c r="C36" s="12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</row>
    <row r="37" spans="1:44" x14ac:dyDescent="0.4">
      <c r="A37" s="12"/>
      <c r="B37" s="12"/>
      <c r="C37" s="12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H37" s="48"/>
      <c r="AI37" s="48"/>
      <c r="AJ37" s="48"/>
      <c r="AK37" s="48"/>
      <c r="AL37" s="48"/>
      <c r="AM37" s="48"/>
      <c r="AN37" s="48"/>
      <c r="AO37" s="48"/>
      <c r="AP37" s="48"/>
      <c r="AQ37" s="48"/>
      <c r="AR37" s="48"/>
    </row>
    <row r="38" spans="1:44" x14ac:dyDescent="0.4">
      <c r="A38" s="12"/>
      <c r="B38" s="12"/>
      <c r="C38" s="12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H38" s="48"/>
      <c r="AI38" s="48"/>
      <c r="AJ38" s="48"/>
      <c r="AK38" s="48"/>
      <c r="AL38" s="48"/>
      <c r="AM38" s="48"/>
      <c r="AN38" s="48"/>
      <c r="AO38" s="48"/>
      <c r="AP38" s="48"/>
      <c r="AQ38" s="48"/>
      <c r="AR38" s="48"/>
    </row>
    <row r="39" spans="1:44" x14ac:dyDescent="0.4">
      <c r="A39" s="12"/>
      <c r="B39" s="12"/>
      <c r="C39" s="12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H39" s="48"/>
      <c r="AI39" s="48"/>
      <c r="AJ39" s="48"/>
      <c r="AK39" s="48"/>
      <c r="AL39" s="48"/>
      <c r="AM39" s="48"/>
      <c r="AN39" s="48"/>
      <c r="AO39" s="48"/>
      <c r="AP39" s="48"/>
      <c r="AQ39" s="48"/>
      <c r="AR39" s="48"/>
    </row>
    <row r="40" spans="1:44" x14ac:dyDescent="0.4">
      <c r="A40" s="12"/>
      <c r="B40" s="12"/>
      <c r="C40" s="12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H40" s="48"/>
      <c r="AI40" s="48"/>
      <c r="AJ40" s="48"/>
      <c r="AK40" s="48"/>
      <c r="AL40" s="48"/>
      <c r="AM40" s="48"/>
      <c r="AN40" s="48"/>
      <c r="AO40" s="48"/>
      <c r="AP40" s="48"/>
      <c r="AQ40" s="48"/>
      <c r="AR40" s="48"/>
    </row>
    <row r="41" spans="1:44" x14ac:dyDescent="0.4">
      <c r="A41" s="12"/>
      <c r="B41" s="12"/>
      <c r="C41" s="12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H41" s="48"/>
      <c r="AI41" s="48"/>
      <c r="AJ41" s="48"/>
      <c r="AK41" s="48"/>
      <c r="AL41" s="48"/>
      <c r="AM41" s="48"/>
      <c r="AN41" s="48"/>
      <c r="AO41" s="48"/>
      <c r="AP41" s="48"/>
      <c r="AQ41" s="48"/>
      <c r="AR41" s="48"/>
    </row>
  </sheetData>
  <mergeCells count="3">
    <mergeCell ref="A4:A5"/>
    <mergeCell ref="Q2:Y7"/>
    <mergeCell ref="AH6:AR41"/>
  </mergeCells>
  <phoneticPr fontId="1" type="noConversion"/>
  <dataValidations count="5">
    <dataValidation type="list" allowBlank="1" showInputMessage="1" showErrorMessage="1" sqref="B2" xr:uid="{76D5FCD6-1713-4A3B-8CFF-3ADAE3EDBBE1}">
      <formula1>"P, G, CF, GNCF"</formula1>
    </dataValidation>
    <dataValidation type="list" allowBlank="1" showInputMessage="1" showErrorMessage="1" sqref="G10:G12 G14:G16 H17:H41" xr:uid="{61303CF2-710D-41F4-92A9-8B84DBD4B75F}">
      <formula1>"1, 3"</formula1>
    </dataValidation>
    <dataValidation type="list" allowBlank="1" showInputMessage="1" showErrorMessage="1" sqref="D10:D41" xr:uid="{3BB1159E-9F1C-465A-9366-ABEC6D289868}">
      <formula1>"StepDown, Lizard,MonthlyCoupon, KnockOut, TwoWayKnockOut,StepDown(Swap), Lizard(Swap),MonthlyCoupon(Swap)"</formula1>
    </dataValidation>
    <dataValidation type="list" allowBlank="1" showInputMessage="1" showErrorMessage="1" sqref="Z10:Z41" xr:uid="{3C7F3159-DFC2-4854-A2E1-618C51AA4E9F}">
      <formula1>"Fixed,Floating"</formula1>
    </dataValidation>
    <dataValidation type="list" allowBlank="1" showInputMessage="1" showErrorMessage="1" sqref="AD10:AD41" xr:uid="{28E37786-212E-4948-952F-48E3359BA6B3}">
      <formula1>"ACT/365,ACT/360,30/360,30E/360,30E/360_ISDA,ACT/ACT,unadjust"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Market Data</vt:lpstr>
      <vt:lpstr>Vol</vt:lpstr>
      <vt:lpstr>Missing Data - Hist Vol, Corr</vt:lpstr>
      <vt:lpstr>Missing Data - Fx Forward</vt:lpstr>
      <vt:lpstr>Missing Data - D_Dividend(보정)</vt:lpstr>
      <vt:lpstr>OTC</vt:lpstr>
      <vt:lpstr>Quote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juro2020-HS</dc:creator>
  <cp:lastModifiedBy>JURO6</cp:lastModifiedBy>
  <dcterms:created xsi:type="dcterms:W3CDTF">2015-06-05T18:19:34Z</dcterms:created>
  <dcterms:modified xsi:type="dcterms:W3CDTF">2024-05-29T02:26:56Z</dcterms:modified>
</cp:coreProperties>
</file>