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171A047F-EEE8-4A73-9CBB-CD1947D3E5F9}" xr6:coauthVersionLast="47" xr6:coauthVersionMax="47" xr10:uidLastSave="{00000000-0000-0000-0000-000000000000}"/>
  <bookViews>
    <workbookView xWindow="11520" yWindow="0" windowWidth="11520" windowHeight="12360" firstSheet="2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<sst xmlns="http://schemas.openxmlformats.org/spreadsheetml/2006/main" count="377" uniqueCount="175">
  <si>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</si>
  <si>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</si>
  <si>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</si>
  <si>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</si>
  <si>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</si>
  <si>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</si>
  <si>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</si>
  <si>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</si>
  <si>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</si>
  <si>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</si>
  <si>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</si>
  <si>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</si>
  <si>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</si>
  <si>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</si>
  <si>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</si>
  <si>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</si>
  <si>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</si>
  <si>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</si>
  <si>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</si>
  <si>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</si>
  <si>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</si>
  <si>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</si>
  <si>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</si>
  <si>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</si>
  <si>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</si>
  <si>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</si>
  <si>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</si>
  <si>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</si>
  <si>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</si>
  <si>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</si>
  <si>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</si>
  <si>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</si>
  <si>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</si>
  <si>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</si>
  <si>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</si>
  <si>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</si>
  <si>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</si>
  <si>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</si>
  <si>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</si>
  <si>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</si>
  <si>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</si>
  <si>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</si>
  <si>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</si>
  <si>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</si>
  <si>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</si>
  <si>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</si>
  <si>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</si>
  <si>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</si>
  <si>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</si>
  <si>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</si>
  <si>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</si>
  <si>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</si>
  <si>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</si>
  <si>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</si>
  <si>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</si>
  <si>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</si>
  <si>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</si>
  <si>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</si>
  <si>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</si>
  <si>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</si>
  <si>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</si>
  <si>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</si>
  <si>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</si>
  <si>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</si>
  <si>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</si>
  <si>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</si>
  <si>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</si>
  <si>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</si>
  <si>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</si>
  <si>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</si>
  <si>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</si>
  <si>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</si>
  <si>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</si>
  <si>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</si>
  <si>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</si>
  <si>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</si>
  <si>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</si>
  <si>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</si>
  <si>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</si>
  <si>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</si>
  <si>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</si>
  <si>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</si>
  <si>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</si>
  <si>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</si>
  <si>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</si>
  <si>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</si>
  <si>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</si>
  <si>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</si>
  <si>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</si>
  <si>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</si>
  <si>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</si>
  <si>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</si>
  <si>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</si>
  <si>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</si>
  <si>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</si>
  <si>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</si>
  <si>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</si>
  <si>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</si>
  <si>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</si>
  <si>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</si>
  <si>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</si>
  <si>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</si>
  <si>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</si>
  <si>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</si>
  <si>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</si>
  <si>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</si>
  <si>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</si>
  <si>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</si>
  <si>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</si>
  <si>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</si>
  <si>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</si>
  <si>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</si>
  <si>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</si>
  <si>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</si>
  <si>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</si>
  <si>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</si>
  <si>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</si>
  <si>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</si>
  <si>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</si>
  <si>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</si>
  <si>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</si>
  <si>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</si>
  <si>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</si>
  <si>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</si>
  <si>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</si>
  <si>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</si>
  <si>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</si>
  <si>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</si>
  <si>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</si>
  <si>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</si>
  <si>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</si>
  <si>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</si>
  <si>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</si>
  <si>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</si>
  <si>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</si>
  <si>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</si>
  <si>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</si>
  <si>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</si>
  <si>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</si>
  <si>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</si>
  <si>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</si>
  <si>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</si>
  <si>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</si>
  <si>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</si>
  <si>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</si>
  <si>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</si>
  <si>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</si>
  <si>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</si>
  <si>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</si>
  <si>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</si>
  <si>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</si>
  <si>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</si>
  <si>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</si>
  <si>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</si>
  <si>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</si>
  <si>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</si>
  <si>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</si>
  <si>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</si>
  <si>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</si>
  <si>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Swap기초자산</t>
    <phoneticPr fontId="1" type="noConversion"/>
  </si>
  <si>
    <t>StepDown(Swap)</t>
  </si>
  <si>
    <t>CD91</t>
    <phoneticPr fontId="1" type="noConversion"/>
  </si>
  <si>
    <t>Swap 쿠폰유형</t>
    <phoneticPr fontId="1" type="noConversion"/>
  </si>
  <si>
    <t>Floating</t>
  </si>
  <si>
    <t>일수 계산 유형</t>
    <phoneticPr fontId="1" type="noConversion"/>
  </si>
  <si>
    <t>ACT/365</t>
  </si>
  <si>
    <t>Swap이자지급주기(월)</t>
    <phoneticPr fontId="1" type="noConversion"/>
  </si>
  <si>
    <t>Swap Spread
(또는 고정금리, %)</t>
    <phoneticPr fontId="1" type="noConversion"/>
  </si>
  <si>
    <t>Lizard(Swap)</t>
  </si>
  <si>
    <t>95-95-90-90-85-80</t>
  </si>
  <si>
    <t>MonthlyCoupon(Swap)</t>
  </si>
  <si>
    <t>Floating</t>
    <phoneticPr fontId="1" type="noConversion"/>
  </si>
  <si>
    <r>
      <t xml:space="preserve">StepDown, Lizard, MonthlyCoupon의 Swap부분 입력 방법
기존에 StepDown, Lizard, MonthlyCoupon 입력 하는 부분에서 LEG_NO = 1(기존에는 다 0으로 하라고 했었음)로 매핑
1) OTC_LEG_MSTR(기존 LEG_NO = 0이었던 PAY_RECV_TP = R 로 매핑)
LEG_NO = 2
PAY_RECV_TP = P
2) OTC_CNTR_UNAS_PRTC
UNAS_ID = 'CD91' -&gt; OTC_UNAS_MSTR의 UNAS_ID로 매핑해야됨 CD91는 STND_CODE 에 매핑되어 있음
LEG_NO = '2'
SEQ = '1'
3) OTC_INT_STRC_MSTR
LEG_NO = '2'
INT_STRC_GDS_NO = '1'
INT_TYPE_TP = (IF Swap쿠폰유형=Floating THEN 'FLO', ELSE IF Swap쿠폰유형 = Fixed THEN 'FIX')
CPN_CYCL__TP = '3'(Swap이자지급주기)
DYS_CALC_FRM_TP = 'A365' 일수 계산 유형(ACT/365=A365, ACT/360=A360, 30/360=3360, 30E/360=E360, 30E/360_ISDA, ACT/ACT=AACT, unadjust=ACTD)
FIXD_INT = (IF Swap쿠폰유형=Floating THEN '0', ELSE IF Swap쿠폰유형 = Fixed THEN Swap Spread/100)
SPRD = (IF Swap쿠폰유형=Floating THEN Swap Spread/100, ELSE IF Swap쿠폰유형 = Fixed THEN '0')
4) OTC_INT_STRC_CPN_SCHD_PRTC
LEG_NO = '2'
INT_STRC_GDS_NO = '1'
INT_DTRM_DT = 거래일 + 이자지급주기(월)만큼 증가 시켜서 입력(FIXED이면 입력 안함)
STRT_DT = 거래일 + 이자지급주기(월)만큼 증가 시켜서 입력
END_DT = STRT_DT + 이자지급주기(월)만큼 증가 시켜서 입력
SETL_DT = END_DT + 결제일offSet(일) 만큼 증가 시켜 입력(맨 마지막 지급일자는 ELS만기상환 일자와 동일 해야함, 만약 END_DT보다 이전 시점이면 END_DT값을 SETL_DT와 동일하게 맞춰준다.)
참조하는 상품은 </t>
    </r>
    <r>
      <rPr>
        <b/>
        <sz val="11"/>
        <color theme="1"/>
        <rFont val="맑은 고딕"/>
        <family val="3"/>
        <charset val="129"/>
        <scheme val="minor"/>
      </rPr>
      <t>ELSM0561B</t>
    </r>
    <r>
      <rPr>
        <sz val="11"/>
        <color theme="1"/>
        <rFont val="맑은 고딕"/>
        <family val="2"/>
        <scheme val="minor"/>
      </rPr>
      <t xml:space="preserve"> 로 UROSYS에서 찾아보면 됨</t>
    </r>
    <phoneticPr fontId="1" type="noConversion"/>
  </si>
  <si>
    <t>Lizard</t>
  </si>
  <si>
    <t>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</si>
</sst>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8" fillId="0" borderId="0" xfId="0" applyFont="1"/>
    <xf numFmtId="0" fontId="8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0" borderId="0" xfId="0" applyFont="1" applyAlignment="1">
      <alignment horizontal="left" vertical="top"/>
    </xf>
    <xf numFmtId="0" fontId="14" fillId="0" borderId="0" xfId="0" applyFont="1" applyAlignment="1">
      <alignment vertical="top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49282</xdr:colOff>
      <xdr:row>0</xdr:row>
      <xdr:rowOff>28575</xdr:rowOff>
    </xdr:from>
    <xdr:to>
      <xdr:col>5</xdr:col>
      <xdr:colOff>687456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754632" y="28575"/>
          <a:ext cx="1752599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82</v>
      </c>
    </row>
    <row r="4" spans="1:21" x14ac:dyDescent="0.4">
      <c r="A4" s="6" t="s">
        <v>2</v>
      </c>
      <c r="B4" s="15"/>
      <c r="F4" s="15"/>
      <c r="M4" s="6" t="s">
        <v>2</v>
      </c>
      <c r="N4" s="15"/>
      <c r="T4" s="15"/>
    </row>
    <row r="5" spans="1:21" x14ac:dyDescent="0.4">
      <c r="A5" s="40" t="s">
        <v>27</v>
      </c>
      <c r="B5" s="40"/>
      <c r="C5" s="40"/>
      <c r="D5" s="40"/>
      <c r="E5" s="40"/>
      <c r="F5" s="40"/>
      <c r="G5" s="40"/>
      <c r="H5" s="40"/>
      <c r="I5" s="40"/>
      <c r="M5" s="40" t="s">
        <v>36</v>
      </c>
      <c r="N5" s="40"/>
      <c r="O5" s="40"/>
      <c r="P5" s="40"/>
      <c r="Q5" s="40"/>
      <c r="R5" s="40"/>
      <c r="S5" s="40"/>
      <c r="T5" s="40"/>
      <c r="U5" s="40"/>
    </row>
    <row r="6" spans="1:21" x14ac:dyDescent="0.4">
      <c r="A6" s="41" t="s">
        <v>3</v>
      </c>
      <c r="B6" s="41" t="s">
        <v>4</v>
      </c>
      <c r="C6" s="43" t="s">
        <v>5</v>
      </c>
      <c r="D6" s="43"/>
      <c r="E6" s="43"/>
      <c r="F6" s="43"/>
      <c r="G6" s="43"/>
      <c r="H6" s="43"/>
      <c r="I6" s="43"/>
      <c r="M6" s="41" t="s">
        <v>3</v>
      </c>
      <c r="N6" s="41" t="s">
        <v>4</v>
      </c>
      <c r="O6" s="43" t="s">
        <v>5</v>
      </c>
      <c r="P6" s="43"/>
      <c r="Q6" s="43"/>
      <c r="R6" s="43"/>
      <c r="S6" s="43"/>
      <c r="T6" s="43"/>
      <c r="U6" s="43"/>
    </row>
    <row r="7" spans="1:21" x14ac:dyDescent="0.4">
      <c r="A7" s="42"/>
      <c r="B7" s="42"/>
      <c r="C7" s="8" t="s">
        <v>13</v>
      </c>
      <c r="D7" s="17" t="s">
        <v>89</v>
      </c>
      <c r="E7" s="18" t="s">
        <v>90</v>
      </c>
      <c r="F7" s="8" t="s">
        <v>16</v>
      </c>
      <c r="G7" s="18" t="s">
        <v>91</v>
      </c>
      <c r="H7" s="16" t="s">
        <v>92</v>
      </c>
      <c r="I7" s="8" t="s">
        <v>19</v>
      </c>
      <c r="M7" s="42"/>
      <c r="N7" s="42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87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88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5"/>
      <c r="F16" s="15"/>
      <c r="M16" s="6" t="s">
        <v>20</v>
      </c>
      <c r="N16" s="15"/>
      <c r="T16" s="15"/>
    </row>
    <row r="17" spans="1:22" x14ac:dyDescent="0.4">
      <c r="A17" s="40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M17" s="40" t="s">
        <v>35</v>
      </c>
      <c r="N17" s="40"/>
      <c r="O17" s="40"/>
      <c r="P17" s="40"/>
      <c r="Q17" s="40"/>
      <c r="R17" s="40"/>
      <c r="S17" s="40"/>
      <c r="T17" s="40"/>
      <c r="U17" s="40"/>
      <c r="V17" s="40"/>
    </row>
    <row r="18" spans="1:22" x14ac:dyDescent="0.4">
      <c r="A18" s="41" t="s">
        <v>3</v>
      </c>
      <c r="B18" s="41" t="s">
        <v>21</v>
      </c>
      <c r="C18" s="41" t="s">
        <v>22</v>
      </c>
      <c r="D18" s="43" t="s">
        <v>5</v>
      </c>
      <c r="E18" s="43"/>
      <c r="F18" s="43"/>
      <c r="G18" s="43"/>
      <c r="H18" s="43"/>
      <c r="I18" s="43"/>
      <c r="J18" s="43"/>
      <c r="M18" s="41" t="s">
        <v>3</v>
      </c>
      <c r="N18" s="41" t="s">
        <v>21</v>
      </c>
      <c r="O18" s="41" t="s">
        <v>22</v>
      </c>
      <c r="P18" s="43" t="s">
        <v>5</v>
      </c>
      <c r="Q18" s="43"/>
      <c r="R18" s="43"/>
      <c r="S18" s="43"/>
      <c r="T18" s="43"/>
      <c r="U18" s="43"/>
      <c r="V18" s="43"/>
    </row>
    <row r="19" spans="1:22" x14ac:dyDescent="0.4">
      <c r="A19" s="42"/>
      <c r="B19" s="42"/>
      <c r="C19" s="42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2"/>
      <c r="N19" s="42"/>
      <c r="O19" s="42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5"/>
      <c r="M25" s="6" t="s">
        <v>28</v>
      </c>
      <c r="N25" s="15"/>
    </row>
    <row r="26" spans="1:22" x14ac:dyDescent="0.4">
      <c r="A26" s="40" t="s">
        <v>27</v>
      </c>
      <c r="B26" s="40"/>
      <c r="C26" s="40"/>
      <c r="D26" s="40"/>
      <c r="E26" s="40"/>
      <c r="F26" s="40"/>
      <c r="G26" s="40"/>
      <c r="H26" s="40"/>
      <c r="I26" s="40"/>
      <c r="J26" s="40"/>
      <c r="M26" s="44" t="s">
        <v>36</v>
      </c>
      <c r="N26" s="45"/>
      <c r="O26" s="45"/>
      <c r="P26" s="45"/>
      <c r="Q26" s="45"/>
      <c r="R26" s="45"/>
      <c r="S26" s="45"/>
      <c r="T26" s="45"/>
      <c r="U26" s="45"/>
      <c r="V26" s="46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86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86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1">
        <v>2.7799999999999999E-3</v>
      </c>
      <c r="B29" s="22"/>
      <c r="C29" s="21"/>
      <c r="D29" s="22"/>
      <c r="E29" s="21"/>
      <c r="F29" s="22"/>
      <c r="G29" s="21"/>
      <c r="H29" s="22"/>
      <c r="I29" s="21"/>
      <c r="J29" s="22"/>
      <c r="M29" s="21">
        <v>2.7777777777777779E-3</v>
      </c>
      <c r="N29" s="22">
        <f>B29+0.0001</f>
        <v>1E-4</v>
      </c>
      <c r="O29" s="21"/>
      <c r="P29" s="22"/>
      <c r="Q29" s="21"/>
      <c r="R29" s="22"/>
      <c r="S29" s="21"/>
      <c r="T29" s="22"/>
      <c r="U29" s="21"/>
      <c r="V29" s="22"/>
    </row>
    <row r="30" spans="1:22" x14ac:dyDescent="0.4">
      <c r="A30" s="23">
        <v>0.25</v>
      </c>
      <c r="B30" s="24"/>
      <c r="C30" s="23"/>
      <c r="D30" s="24"/>
      <c r="E30" s="23"/>
      <c r="F30" s="24"/>
      <c r="G30" s="23"/>
      <c r="H30" s="24"/>
      <c r="I30" s="23"/>
      <c r="J30" s="24"/>
      <c r="M30" s="23">
        <v>0.25</v>
      </c>
      <c r="N30" s="22">
        <f t="shared" ref="N30:N72" si="16">B30+0.0001</f>
        <v>1E-4</v>
      </c>
      <c r="O30" s="23"/>
      <c r="P30" s="24"/>
      <c r="Q30" s="23"/>
      <c r="R30" s="24"/>
      <c r="S30" s="23"/>
      <c r="T30" s="24"/>
      <c r="U30" s="23"/>
      <c r="V30" s="24"/>
    </row>
    <row r="31" spans="1:22" x14ac:dyDescent="0.4">
      <c r="A31" s="23">
        <v>0.5</v>
      </c>
      <c r="B31" s="24"/>
      <c r="C31" s="23"/>
      <c r="D31" s="24"/>
      <c r="E31" s="23"/>
      <c r="F31" s="24"/>
      <c r="G31" s="23"/>
      <c r="H31" s="24"/>
      <c r="I31" s="23"/>
      <c r="J31" s="24"/>
      <c r="M31" s="23">
        <v>0.5</v>
      </c>
      <c r="N31" s="22">
        <f t="shared" si="16"/>
        <v>1E-4</v>
      </c>
      <c r="O31" s="23"/>
      <c r="P31" s="24"/>
      <c r="Q31" s="23"/>
      <c r="R31" s="24"/>
      <c r="S31" s="23"/>
      <c r="T31" s="24"/>
      <c r="U31" s="23"/>
      <c r="V31" s="24"/>
    </row>
    <row r="32" spans="1:22" x14ac:dyDescent="0.4">
      <c r="A32" s="23">
        <v>0.75</v>
      </c>
      <c r="B32" s="24"/>
      <c r="C32" s="23"/>
      <c r="D32" s="24"/>
      <c r="E32" s="23"/>
      <c r="F32" s="24"/>
      <c r="G32" s="23"/>
      <c r="H32" s="24"/>
      <c r="I32" s="23"/>
      <c r="J32" s="24"/>
      <c r="M32" s="23">
        <v>0.75</v>
      </c>
      <c r="N32" s="22">
        <f t="shared" si="16"/>
        <v>1E-4</v>
      </c>
      <c r="O32" s="23"/>
      <c r="P32" s="24"/>
      <c r="Q32" s="23"/>
      <c r="R32" s="24"/>
      <c r="S32" s="23"/>
      <c r="T32" s="24"/>
      <c r="U32" s="23"/>
      <c r="V32" s="24"/>
    </row>
    <row r="33" spans="1:22" x14ac:dyDescent="0.4">
      <c r="A33" s="23">
        <v>1</v>
      </c>
      <c r="B33" s="24"/>
      <c r="C33" s="23"/>
      <c r="D33" s="24"/>
      <c r="E33" s="23"/>
      <c r="F33" s="24"/>
      <c r="G33" s="23"/>
      <c r="H33" s="24"/>
      <c r="I33" s="23"/>
      <c r="J33" s="24"/>
      <c r="M33" s="23">
        <v>1</v>
      </c>
      <c r="N33" s="22">
        <f t="shared" si="16"/>
        <v>1E-4</v>
      </c>
      <c r="O33" s="23"/>
      <c r="P33" s="24"/>
      <c r="Q33" s="23"/>
      <c r="R33" s="24"/>
      <c r="S33" s="23"/>
      <c r="T33" s="24"/>
      <c r="U33" s="23"/>
      <c r="V33" s="24"/>
    </row>
    <row r="34" spans="1:22" x14ac:dyDescent="0.4">
      <c r="A34" s="23">
        <v>1.25</v>
      </c>
      <c r="B34" s="24"/>
      <c r="C34" s="23"/>
      <c r="D34" s="24"/>
      <c r="E34" s="23"/>
      <c r="F34" s="24"/>
      <c r="G34" s="23"/>
      <c r="H34" s="24"/>
      <c r="I34" s="23"/>
      <c r="J34" s="24"/>
      <c r="M34" s="23">
        <v>1.25</v>
      </c>
      <c r="N34" s="22">
        <f t="shared" si="16"/>
        <v>1E-4</v>
      </c>
      <c r="O34" s="23"/>
      <c r="P34" s="24"/>
      <c r="Q34" s="23"/>
      <c r="R34" s="24"/>
      <c r="S34" s="23"/>
      <c r="T34" s="24"/>
      <c r="U34" s="23"/>
      <c r="V34" s="24"/>
    </row>
    <row r="35" spans="1:22" x14ac:dyDescent="0.4">
      <c r="A35" s="23">
        <v>1.5</v>
      </c>
      <c r="B35" s="24"/>
      <c r="C35" s="23"/>
      <c r="D35" s="24"/>
      <c r="E35" s="23"/>
      <c r="F35" s="24"/>
      <c r="G35" s="23"/>
      <c r="H35" s="24"/>
      <c r="I35" s="23"/>
      <c r="J35" s="24"/>
      <c r="M35" s="23">
        <v>1.5</v>
      </c>
      <c r="N35" s="22">
        <f t="shared" si="16"/>
        <v>1E-4</v>
      </c>
      <c r="O35" s="23"/>
      <c r="P35" s="24"/>
      <c r="Q35" s="23"/>
      <c r="R35" s="24"/>
      <c r="S35" s="23"/>
      <c r="T35" s="24"/>
      <c r="U35" s="23"/>
      <c r="V35" s="24"/>
    </row>
    <row r="36" spans="1:22" x14ac:dyDescent="0.4">
      <c r="A36" s="23">
        <v>1.75</v>
      </c>
      <c r="B36" s="24"/>
      <c r="C36" s="23"/>
      <c r="D36" s="24"/>
      <c r="E36" s="23"/>
      <c r="F36" s="24"/>
      <c r="G36" s="23"/>
      <c r="H36" s="24"/>
      <c r="I36" s="23"/>
      <c r="J36" s="24"/>
      <c r="M36" s="23">
        <v>1.75</v>
      </c>
      <c r="N36" s="22">
        <f t="shared" si="16"/>
        <v>1E-4</v>
      </c>
      <c r="O36" s="23"/>
      <c r="P36" s="24"/>
      <c r="Q36" s="23"/>
      <c r="R36" s="24"/>
      <c r="S36" s="23"/>
      <c r="T36" s="24"/>
      <c r="U36" s="23"/>
      <c r="V36" s="24"/>
    </row>
    <row r="37" spans="1:22" x14ac:dyDescent="0.4">
      <c r="A37" s="23">
        <v>2</v>
      </c>
      <c r="B37" s="24"/>
      <c r="C37" s="23"/>
      <c r="D37" s="24"/>
      <c r="E37" s="23"/>
      <c r="F37" s="24"/>
      <c r="G37" s="23"/>
      <c r="H37" s="24"/>
      <c r="I37" s="23"/>
      <c r="J37" s="24"/>
      <c r="M37" s="23">
        <v>2</v>
      </c>
      <c r="N37" s="22">
        <f t="shared" si="16"/>
        <v>1E-4</v>
      </c>
      <c r="O37" s="23"/>
      <c r="P37" s="24"/>
      <c r="Q37" s="23"/>
      <c r="R37" s="24"/>
      <c r="S37" s="23"/>
      <c r="T37" s="24"/>
      <c r="U37" s="23"/>
      <c r="V37" s="24"/>
    </row>
    <row r="38" spans="1:22" x14ac:dyDescent="0.4">
      <c r="A38" s="23">
        <v>2.25</v>
      </c>
      <c r="B38" s="24"/>
      <c r="C38" s="23"/>
      <c r="D38" s="24"/>
      <c r="E38" s="23"/>
      <c r="F38" s="24"/>
      <c r="G38" s="23"/>
      <c r="H38" s="24"/>
      <c r="I38" s="23"/>
      <c r="J38" s="24"/>
      <c r="M38" s="23">
        <v>2.25</v>
      </c>
      <c r="N38" s="22">
        <f t="shared" si="16"/>
        <v>1E-4</v>
      </c>
      <c r="O38" s="23"/>
      <c r="P38" s="24"/>
      <c r="Q38" s="23"/>
      <c r="R38" s="24"/>
      <c r="S38" s="23"/>
      <c r="T38" s="24"/>
      <c r="U38" s="23"/>
      <c r="V38" s="24"/>
    </row>
    <row r="39" spans="1:22" x14ac:dyDescent="0.4">
      <c r="A39" s="23">
        <v>2.5</v>
      </c>
      <c r="B39" s="24"/>
      <c r="C39" s="23"/>
      <c r="D39" s="24"/>
      <c r="E39" s="23"/>
      <c r="F39" s="24"/>
      <c r="G39" s="23"/>
      <c r="H39" s="24"/>
      <c r="I39" s="23"/>
      <c r="J39" s="24"/>
      <c r="M39" s="23">
        <v>2.5</v>
      </c>
      <c r="N39" s="22">
        <f t="shared" si="16"/>
        <v>1E-4</v>
      </c>
      <c r="O39" s="23"/>
      <c r="P39" s="24"/>
      <c r="Q39" s="23"/>
      <c r="R39" s="24"/>
      <c r="S39" s="23"/>
      <c r="T39" s="24"/>
      <c r="U39" s="23"/>
      <c r="V39" s="24"/>
    </row>
    <row r="40" spans="1:22" x14ac:dyDescent="0.4">
      <c r="A40" s="23">
        <v>2.75</v>
      </c>
      <c r="B40" s="24"/>
      <c r="C40" s="23"/>
      <c r="D40" s="24"/>
      <c r="E40" s="23"/>
      <c r="F40" s="24"/>
      <c r="G40" s="23"/>
      <c r="H40" s="24"/>
      <c r="I40" s="23"/>
      <c r="J40" s="24"/>
      <c r="M40" s="23">
        <v>2.75</v>
      </c>
      <c r="N40" s="22">
        <f t="shared" si="16"/>
        <v>1E-4</v>
      </c>
      <c r="O40" s="23"/>
      <c r="P40" s="24"/>
      <c r="Q40" s="23"/>
      <c r="R40" s="24"/>
      <c r="S40" s="23"/>
      <c r="T40" s="24"/>
      <c r="U40" s="23"/>
      <c r="V40" s="24"/>
    </row>
    <row r="41" spans="1:22" x14ac:dyDescent="0.4">
      <c r="A41" s="23">
        <v>3</v>
      </c>
      <c r="B41" s="24"/>
      <c r="C41" s="23"/>
      <c r="D41" s="24"/>
      <c r="E41" s="23"/>
      <c r="F41" s="24"/>
      <c r="G41" s="23"/>
      <c r="H41" s="24"/>
      <c r="I41" s="23"/>
      <c r="J41" s="24"/>
      <c r="M41" s="23">
        <v>3</v>
      </c>
      <c r="N41" s="22">
        <f t="shared" si="16"/>
        <v>1E-4</v>
      </c>
      <c r="O41" s="23"/>
      <c r="P41" s="24"/>
      <c r="Q41" s="23"/>
      <c r="R41" s="24"/>
      <c r="S41" s="23"/>
      <c r="T41" s="24"/>
      <c r="U41" s="23"/>
      <c r="V41" s="24"/>
    </row>
    <row r="42" spans="1:22" x14ac:dyDescent="0.4">
      <c r="A42" s="23">
        <v>3.25</v>
      </c>
      <c r="B42" s="24"/>
      <c r="C42" s="23"/>
      <c r="D42" s="24"/>
      <c r="E42" s="23"/>
      <c r="F42" s="24"/>
      <c r="G42" s="23"/>
      <c r="H42" s="24"/>
      <c r="I42" s="23"/>
      <c r="J42" s="24"/>
      <c r="M42" s="23">
        <v>3.25</v>
      </c>
      <c r="N42" s="22">
        <f t="shared" si="16"/>
        <v>1E-4</v>
      </c>
      <c r="O42" s="23"/>
      <c r="P42" s="24"/>
      <c r="Q42" s="23"/>
      <c r="R42" s="24"/>
      <c r="S42" s="23"/>
      <c r="T42" s="24"/>
      <c r="U42" s="23"/>
      <c r="V42" s="24"/>
    </row>
    <row r="43" spans="1:22" x14ac:dyDescent="0.4">
      <c r="A43" s="23">
        <v>3.5</v>
      </c>
      <c r="B43" s="24"/>
      <c r="C43" s="23"/>
      <c r="D43" s="24"/>
      <c r="E43" s="23"/>
      <c r="F43" s="24"/>
      <c r="G43" s="23"/>
      <c r="H43" s="24"/>
      <c r="I43" s="23"/>
      <c r="J43" s="24"/>
      <c r="M43" s="23">
        <v>3.5</v>
      </c>
      <c r="N43" s="22">
        <f t="shared" si="16"/>
        <v>1E-4</v>
      </c>
      <c r="O43" s="23"/>
      <c r="P43" s="24"/>
      <c r="Q43" s="23"/>
      <c r="R43" s="24"/>
      <c r="S43" s="23"/>
      <c r="T43" s="24"/>
      <c r="U43" s="23"/>
      <c r="V43" s="24"/>
    </row>
    <row r="44" spans="1:22" x14ac:dyDescent="0.4">
      <c r="A44" s="23">
        <v>3.75</v>
      </c>
      <c r="B44" s="24"/>
      <c r="C44" s="23"/>
      <c r="D44" s="24"/>
      <c r="E44" s="23"/>
      <c r="F44" s="24"/>
      <c r="G44" s="23"/>
      <c r="H44" s="24"/>
      <c r="I44" s="23"/>
      <c r="J44" s="24"/>
      <c r="M44" s="23">
        <v>3.75</v>
      </c>
      <c r="N44" s="22">
        <f t="shared" si="16"/>
        <v>1E-4</v>
      </c>
      <c r="O44" s="23"/>
      <c r="P44" s="24"/>
      <c r="Q44" s="23"/>
      <c r="R44" s="24"/>
      <c r="S44" s="23"/>
      <c r="T44" s="24"/>
      <c r="U44" s="23"/>
      <c r="V44" s="24"/>
    </row>
    <row r="45" spans="1:22" x14ac:dyDescent="0.4">
      <c r="A45" s="23">
        <v>4</v>
      </c>
      <c r="B45" s="24"/>
      <c r="C45" s="23"/>
      <c r="D45" s="24"/>
      <c r="E45" s="23"/>
      <c r="F45" s="24"/>
      <c r="G45" s="23"/>
      <c r="H45" s="24"/>
      <c r="I45" s="23"/>
      <c r="J45" s="24"/>
      <c r="M45" s="23">
        <v>4</v>
      </c>
      <c r="N45" s="22">
        <f t="shared" si="16"/>
        <v>1E-4</v>
      </c>
      <c r="O45" s="23"/>
      <c r="P45" s="24"/>
      <c r="Q45" s="23"/>
      <c r="R45" s="24"/>
      <c r="S45" s="23"/>
      <c r="T45" s="24"/>
      <c r="U45" s="23"/>
      <c r="V45" s="24"/>
    </row>
    <row r="46" spans="1:22" x14ac:dyDescent="0.4">
      <c r="A46" s="23">
        <v>4.25</v>
      </c>
      <c r="B46" s="24"/>
      <c r="C46" s="23"/>
      <c r="D46" s="24"/>
      <c r="E46" s="23"/>
      <c r="F46" s="24"/>
      <c r="G46" s="23"/>
      <c r="H46" s="24"/>
      <c r="I46" s="23"/>
      <c r="J46" s="24"/>
      <c r="M46" s="23">
        <v>4.25</v>
      </c>
      <c r="N46" s="22">
        <f t="shared" si="16"/>
        <v>1E-4</v>
      </c>
      <c r="O46" s="23"/>
      <c r="P46" s="24"/>
      <c r="Q46" s="23"/>
      <c r="R46" s="24"/>
      <c r="S46" s="23"/>
      <c r="T46" s="24"/>
      <c r="U46" s="23"/>
      <c r="V46" s="24"/>
    </row>
    <row r="47" spans="1:22" x14ac:dyDescent="0.4">
      <c r="A47" s="23">
        <v>4.5</v>
      </c>
      <c r="B47" s="24"/>
      <c r="C47" s="23"/>
      <c r="D47" s="24"/>
      <c r="E47" s="23"/>
      <c r="F47" s="24"/>
      <c r="G47" s="23"/>
      <c r="H47" s="24"/>
      <c r="I47" s="23"/>
      <c r="J47" s="24"/>
      <c r="M47" s="23">
        <v>4.5</v>
      </c>
      <c r="N47" s="22">
        <f t="shared" si="16"/>
        <v>1E-4</v>
      </c>
      <c r="O47" s="23"/>
      <c r="P47" s="24"/>
      <c r="Q47" s="23"/>
      <c r="R47" s="24"/>
      <c r="S47" s="23"/>
      <c r="T47" s="24"/>
      <c r="U47" s="23"/>
      <c r="V47" s="24"/>
    </row>
    <row r="48" spans="1:22" x14ac:dyDescent="0.4">
      <c r="A48" s="23">
        <v>4.75</v>
      </c>
      <c r="B48" s="24"/>
      <c r="C48" s="23"/>
      <c r="D48" s="24"/>
      <c r="E48" s="23"/>
      <c r="F48" s="24"/>
      <c r="G48" s="23"/>
      <c r="H48" s="24"/>
      <c r="I48" s="23"/>
      <c r="J48" s="24"/>
      <c r="M48" s="23">
        <v>4.75</v>
      </c>
      <c r="N48" s="22">
        <f t="shared" si="16"/>
        <v>1E-4</v>
      </c>
      <c r="O48" s="23"/>
      <c r="P48" s="24"/>
      <c r="Q48" s="23"/>
      <c r="R48" s="24"/>
      <c r="S48" s="23"/>
      <c r="T48" s="24"/>
      <c r="U48" s="23"/>
      <c r="V48" s="24"/>
    </row>
    <row r="49" spans="1:22" x14ac:dyDescent="0.4">
      <c r="A49" s="23">
        <v>5</v>
      </c>
      <c r="B49" s="24"/>
      <c r="C49" s="23"/>
      <c r="D49" s="24"/>
      <c r="E49" s="23"/>
      <c r="F49" s="24"/>
      <c r="G49" s="23"/>
      <c r="H49" s="24"/>
      <c r="I49" s="23"/>
      <c r="J49" s="24"/>
      <c r="M49" s="23">
        <v>5</v>
      </c>
      <c r="N49" s="22">
        <f t="shared" si="16"/>
        <v>1E-4</v>
      </c>
      <c r="O49" s="23"/>
      <c r="P49" s="24"/>
      <c r="Q49" s="23"/>
      <c r="R49" s="24"/>
      <c r="S49" s="23"/>
      <c r="T49" s="24"/>
      <c r="U49" s="23"/>
      <c r="V49" s="24"/>
    </row>
    <row r="50" spans="1:22" x14ac:dyDescent="0.4">
      <c r="A50" s="23">
        <v>5.25</v>
      </c>
      <c r="B50" s="24"/>
      <c r="C50" s="23"/>
      <c r="D50" s="24"/>
      <c r="E50" s="23"/>
      <c r="F50" s="24"/>
      <c r="G50" s="23"/>
      <c r="H50" s="24"/>
      <c r="I50" s="23"/>
      <c r="J50" s="24"/>
      <c r="M50" s="23">
        <v>5.25</v>
      </c>
      <c r="N50" s="22">
        <f t="shared" si="16"/>
        <v>1E-4</v>
      </c>
      <c r="O50" s="23"/>
      <c r="P50" s="24"/>
      <c r="Q50" s="23"/>
      <c r="R50" s="24"/>
      <c r="S50" s="23"/>
      <c r="T50" s="24"/>
      <c r="U50" s="23"/>
      <c r="V50" s="24"/>
    </row>
    <row r="51" spans="1:22" x14ac:dyDescent="0.4">
      <c r="A51" s="23">
        <v>5.5</v>
      </c>
      <c r="B51" s="24"/>
      <c r="C51" s="23"/>
      <c r="D51" s="24"/>
      <c r="E51" s="23"/>
      <c r="F51" s="24"/>
      <c r="G51" s="23"/>
      <c r="H51" s="24"/>
      <c r="I51" s="23"/>
      <c r="J51" s="24"/>
      <c r="M51" s="23">
        <v>5.5</v>
      </c>
      <c r="N51" s="22">
        <f t="shared" si="16"/>
        <v>1E-4</v>
      </c>
      <c r="O51" s="23"/>
      <c r="P51" s="24"/>
      <c r="Q51" s="23"/>
      <c r="R51" s="24"/>
      <c r="S51" s="23"/>
      <c r="T51" s="24"/>
      <c r="U51" s="23"/>
      <c r="V51" s="24"/>
    </row>
    <row r="52" spans="1:22" x14ac:dyDescent="0.4">
      <c r="A52" s="23">
        <v>5.75</v>
      </c>
      <c r="B52" s="24"/>
      <c r="C52" s="23"/>
      <c r="D52" s="24"/>
      <c r="E52" s="23"/>
      <c r="F52" s="24"/>
      <c r="G52" s="23"/>
      <c r="H52" s="24"/>
      <c r="I52" s="23"/>
      <c r="J52" s="24"/>
      <c r="M52" s="23">
        <v>5.75</v>
      </c>
      <c r="N52" s="22">
        <f t="shared" si="16"/>
        <v>1E-4</v>
      </c>
      <c r="O52" s="23"/>
      <c r="P52" s="24"/>
      <c r="Q52" s="23"/>
      <c r="R52" s="24"/>
      <c r="S52" s="23"/>
      <c r="T52" s="24"/>
      <c r="U52" s="23"/>
      <c r="V52" s="24"/>
    </row>
    <row r="53" spans="1:22" x14ac:dyDescent="0.4">
      <c r="A53" s="23">
        <v>6</v>
      </c>
      <c r="B53" s="24"/>
      <c r="C53" s="23"/>
      <c r="D53" s="24"/>
      <c r="E53" s="23"/>
      <c r="F53" s="24"/>
      <c r="G53" s="23"/>
      <c r="H53" s="24"/>
      <c r="I53" s="23"/>
      <c r="J53" s="24"/>
      <c r="M53" s="23">
        <v>6</v>
      </c>
      <c r="N53" s="22">
        <f t="shared" si="16"/>
        <v>1E-4</v>
      </c>
      <c r="O53" s="23"/>
      <c r="P53" s="24"/>
      <c r="Q53" s="23"/>
      <c r="R53" s="24"/>
      <c r="S53" s="23"/>
      <c r="T53" s="24"/>
      <c r="U53" s="23"/>
      <c r="V53" s="24"/>
    </row>
    <row r="54" spans="1:22" x14ac:dyDescent="0.4">
      <c r="A54" s="23">
        <v>6.25</v>
      </c>
      <c r="B54" s="24"/>
      <c r="C54" s="23"/>
      <c r="D54" s="24"/>
      <c r="E54" s="23"/>
      <c r="F54" s="24"/>
      <c r="G54" s="23"/>
      <c r="H54" s="24"/>
      <c r="I54" s="23"/>
      <c r="J54" s="24"/>
      <c r="M54" s="23">
        <v>6.25</v>
      </c>
      <c r="N54" s="22">
        <f t="shared" si="16"/>
        <v>1E-4</v>
      </c>
      <c r="O54" s="23"/>
      <c r="P54" s="24"/>
      <c r="Q54" s="23"/>
      <c r="R54" s="24"/>
      <c r="S54" s="23"/>
      <c r="T54" s="24"/>
      <c r="U54" s="23"/>
      <c r="V54" s="24"/>
    </row>
    <row r="55" spans="1:22" x14ac:dyDescent="0.4">
      <c r="A55" s="23">
        <v>6.5</v>
      </c>
      <c r="B55" s="24"/>
      <c r="C55" s="23"/>
      <c r="D55" s="24"/>
      <c r="E55" s="23"/>
      <c r="F55" s="24"/>
      <c r="G55" s="23"/>
      <c r="H55" s="24"/>
      <c r="I55" s="23"/>
      <c r="J55" s="24"/>
      <c r="M55" s="23">
        <v>6.5</v>
      </c>
      <c r="N55" s="22">
        <f t="shared" si="16"/>
        <v>1E-4</v>
      </c>
      <c r="O55" s="23"/>
      <c r="P55" s="24"/>
      <c r="Q55" s="23"/>
      <c r="R55" s="24"/>
      <c r="S55" s="23"/>
      <c r="T55" s="24"/>
      <c r="U55" s="23"/>
      <c r="V55" s="24"/>
    </row>
    <row r="56" spans="1:22" x14ac:dyDescent="0.4">
      <c r="A56" s="23">
        <v>6.75</v>
      </c>
      <c r="B56" s="24"/>
      <c r="C56" s="23"/>
      <c r="D56" s="24"/>
      <c r="E56" s="23"/>
      <c r="F56" s="24"/>
      <c r="G56" s="23"/>
      <c r="H56" s="24"/>
      <c r="I56" s="23"/>
      <c r="J56" s="24"/>
      <c r="M56" s="23">
        <v>6.75</v>
      </c>
      <c r="N56" s="22">
        <f t="shared" si="16"/>
        <v>1E-4</v>
      </c>
      <c r="O56" s="23"/>
      <c r="P56" s="24"/>
      <c r="Q56" s="23"/>
      <c r="R56" s="24"/>
      <c r="S56" s="23"/>
      <c r="T56" s="24"/>
      <c r="U56" s="23"/>
      <c r="V56" s="24"/>
    </row>
    <row r="57" spans="1:22" x14ac:dyDescent="0.4">
      <c r="A57" s="23">
        <v>7</v>
      </c>
      <c r="B57" s="24"/>
      <c r="C57" s="23"/>
      <c r="D57" s="24"/>
      <c r="E57" s="23"/>
      <c r="F57" s="24"/>
      <c r="G57" s="23"/>
      <c r="H57" s="24"/>
      <c r="I57" s="23"/>
      <c r="J57" s="24"/>
      <c r="M57" s="23">
        <v>7</v>
      </c>
      <c r="N57" s="22">
        <f t="shared" si="16"/>
        <v>1E-4</v>
      </c>
      <c r="O57" s="23"/>
      <c r="P57" s="24"/>
      <c r="Q57" s="23"/>
      <c r="R57" s="24"/>
      <c r="S57" s="23"/>
      <c r="T57" s="24"/>
      <c r="U57" s="23"/>
      <c r="V57" s="24"/>
    </row>
    <row r="58" spans="1:22" x14ac:dyDescent="0.4">
      <c r="A58" s="23">
        <v>7.25</v>
      </c>
      <c r="B58" s="24"/>
      <c r="C58" s="23"/>
      <c r="D58" s="24"/>
      <c r="E58" s="23"/>
      <c r="F58" s="24"/>
      <c r="G58" s="23"/>
      <c r="H58" s="24"/>
      <c r="I58" s="23"/>
      <c r="J58" s="24"/>
      <c r="M58" s="23">
        <v>7.25</v>
      </c>
      <c r="N58" s="22">
        <f t="shared" si="16"/>
        <v>1E-4</v>
      </c>
      <c r="O58" s="23"/>
      <c r="P58" s="24"/>
      <c r="Q58" s="23"/>
      <c r="R58" s="24"/>
      <c r="S58" s="23"/>
      <c r="T58" s="24"/>
      <c r="U58" s="23"/>
      <c r="V58" s="24"/>
    </row>
    <row r="59" spans="1:22" x14ac:dyDescent="0.4">
      <c r="A59" s="23">
        <v>7.5</v>
      </c>
      <c r="B59" s="24"/>
      <c r="C59" s="23"/>
      <c r="D59" s="24"/>
      <c r="E59" s="23"/>
      <c r="F59" s="24"/>
      <c r="G59" s="23"/>
      <c r="H59" s="24"/>
      <c r="I59" s="23"/>
      <c r="J59" s="24"/>
      <c r="M59" s="23">
        <v>7.5</v>
      </c>
      <c r="N59" s="22">
        <f t="shared" si="16"/>
        <v>1E-4</v>
      </c>
      <c r="O59" s="23"/>
      <c r="P59" s="24"/>
      <c r="Q59" s="23"/>
      <c r="R59" s="24"/>
      <c r="S59" s="23"/>
      <c r="T59" s="24"/>
      <c r="U59" s="23"/>
      <c r="V59" s="24"/>
    </row>
    <row r="60" spans="1:22" x14ac:dyDescent="0.4">
      <c r="A60" s="23">
        <v>7.75</v>
      </c>
      <c r="B60" s="24"/>
      <c r="C60" s="23"/>
      <c r="D60" s="24"/>
      <c r="E60" s="23"/>
      <c r="F60" s="24"/>
      <c r="G60" s="23"/>
      <c r="H60" s="24"/>
      <c r="I60" s="23"/>
      <c r="J60" s="24"/>
      <c r="M60" s="23">
        <v>7.75</v>
      </c>
      <c r="N60" s="22">
        <f t="shared" si="16"/>
        <v>1E-4</v>
      </c>
      <c r="O60" s="23"/>
      <c r="P60" s="24"/>
      <c r="Q60" s="23"/>
      <c r="R60" s="24"/>
      <c r="S60" s="23"/>
      <c r="T60" s="24"/>
      <c r="U60" s="23"/>
      <c r="V60" s="24"/>
    </row>
    <row r="61" spans="1:22" x14ac:dyDescent="0.4">
      <c r="A61" s="23">
        <v>8</v>
      </c>
      <c r="B61" s="24"/>
      <c r="C61" s="23"/>
      <c r="D61" s="24"/>
      <c r="E61" s="23"/>
      <c r="F61" s="24"/>
      <c r="G61" s="23"/>
      <c r="H61" s="24"/>
      <c r="I61" s="23"/>
      <c r="J61" s="24"/>
      <c r="M61" s="23">
        <v>8</v>
      </c>
      <c r="N61" s="22">
        <f t="shared" si="16"/>
        <v>1E-4</v>
      </c>
      <c r="O61" s="23"/>
      <c r="P61" s="24"/>
      <c r="Q61" s="23"/>
      <c r="R61" s="24"/>
      <c r="S61" s="23"/>
      <c r="T61" s="24"/>
      <c r="U61" s="23"/>
      <c r="V61" s="24"/>
    </row>
    <row r="62" spans="1:22" x14ac:dyDescent="0.4">
      <c r="A62" s="23">
        <v>8.25</v>
      </c>
      <c r="B62" s="24"/>
      <c r="C62" s="23"/>
      <c r="D62" s="24"/>
      <c r="E62" s="23"/>
      <c r="F62" s="24"/>
      <c r="G62" s="23"/>
      <c r="H62" s="24"/>
      <c r="I62" s="23"/>
      <c r="J62" s="24"/>
      <c r="M62" s="23">
        <v>8.25</v>
      </c>
      <c r="N62" s="22">
        <f t="shared" si="16"/>
        <v>1E-4</v>
      </c>
      <c r="O62" s="23"/>
      <c r="P62" s="24"/>
      <c r="Q62" s="23"/>
      <c r="R62" s="24"/>
      <c r="S62" s="23"/>
      <c r="T62" s="24"/>
      <c r="U62" s="23"/>
      <c r="V62" s="24"/>
    </row>
    <row r="63" spans="1:22" x14ac:dyDescent="0.4">
      <c r="A63" s="23">
        <v>8.5</v>
      </c>
      <c r="B63" s="24"/>
      <c r="C63" s="23"/>
      <c r="D63" s="24"/>
      <c r="E63" s="23"/>
      <c r="F63" s="24"/>
      <c r="G63" s="23"/>
      <c r="H63" s="24"/>
      <c r="I63" s="23"/>
      <c r="J63" s="24"/>
      <c r="M63" s="23">
        <v>8.5</v>
      </c>
      <c r="N63" s="22">
        <f t="shared" si="16"/>
        <v>1E-4</v>
      </c>
      <c r="O63" s="23"/>
      <c r="P63" s="24"/>
      <c r="Q63" s="23"/>
      <c r="R63" s="24"/>
      <c r="S63" s="23"/>
      <c r="T63" s="24"/>
      <c r="U63" s="23"/>
      <c r="V63" s="24"/>
    </row>
    <row r="64" spans="1:22" x14ac:dyDescent="0.4">
      <c r="A64" s="23">
        <v>8.75</v>
      </c>
      <c r="B64" s="24"/>
      <c r="C64" s="23"/>
      <c r="D64" s="24"/>
      <c r="E64" s="23"/>
      <c r="F64" s="24"/>
      <c r="G64" s="23"/>
      <c r="H64" s="24"/>
      <c r="I64" s="23"/>
      <c r="J64" s="24"/>
      <c r="M64" s="23">
        <v>8.75</v>
      </c>
      <c r="N64" s="22">
        <f t="shared" si="16"/>
        <v>1E-4</v>
      </c>
      <c r="O64" s="23"/>
      <c r="P64" s="24"/>
      <c r="Q64" s="23"/>
      <c r="R64" s="24"/>
      <c r="S64" s="23"/>
      <c r="T64" s="24"/>
      <c r="U64" s="23"/>
      <c r="V64" s="24"/>
    </row>
    <row r="65" spans="1:22" x14ac:dyDescent="0.4">
      <c r="A65" s="23">
        <v>9</v>
      </c>
      <c r="B65" s="24"/>
      <c r="C65" s="23"/>
      <c r="D65" s="24"/>
      <c r="E65" s="23"/>
      <c r="F65" s="24"/>
      <c r="G65" s="23"/>
      <c r="H65" s="24"/>
      <c r="I65" s="23"/>
      <c r="J65" s="24"/>
      <c r="M65" s="23">
        <v>9</v>
      </c>
      <c r="N65" s="22">
        <f t="shared" si="16"/>
        <v>1E-4</v>
      </c>
      <c r="O65" s="23"/>
      <c r="P65" s="24"/>
      <c r="Q65" s="23"/>
      <c r="R65" s="24"/>
      <c r="S65" s="23"/>
      <c r="T65" s="24"/>
      <c r="U65" s="23"/>
      <c r="V65" s="24"/>
    </row>
    <row r="66" spans="1:22" x14ac:dyDescent="0.4">
      <c r="A66" s="23">
        <v>9.25</v>
      </c>
      <c r="B66" s="24"/>
      <c r="C66" s="23"/>
      <c r="D66" s="24"/>
      <c r="E66" s="23"/>
      <c r="F66" s="24"/>
      <c r="G66" s="23"/>
      <c r="H66" s="24"/>
      <c r="I66" s="23"/>
      <c r="J66" s="24"/>
      <c r="M66" s="23">
        <v>9.25</v>
      </c>
      <c r="N66" s="22">
        <f t="shared" si="16"/>
        <v>1E-4</v>
      </c>
      <c r="O66" s="23"/>
      <c r="P66" s="24"/>
      <c r="Q66" s="23"/>
      <c r="R66" s="24"/>
      <c r="S66" s="23"/>
      <c r="T66" s="24"/>
      <c r="U66" s="23"/>
      <c r="V66" s="24"/>
    </row>
    <row r="67" spans="1:22" x14ac:dyDescent="0.4">
      <c r="A67" s="23">
        <v>9.5</v>
      </c>
      <c r="B67" s="24"/>
      <c r="C67" s="23"/>
      <c r="D67" s="24"/>
      <c r="E67" s="23"/>
      <c r="F67" s="24"/>
      <c r="G67" s="23"/>
      <c r="H67" s="24"/>
      <c r="I67" s="23"/>
      <c r="J67" s="24"/>
      <c r="M67" s="23">
        <v>9.5</v>
      </c>
      <c r="N67" s="22">
        <f t="shared" si="16"/>
        <v>1E-4</v>
      </c>
      <c r="O67" s="23"/>
      <c r="P67" s="24"/>
      <c r="Q67" s="23"/>
      <c r="R67" s="24"/>
      <c r="S67" s="23"/>
      <c r="T67" s="24"/>
      <c r="U67" s="23"/>
      <c r="V67" s="24"/>
    </row>
    <row r="68" spans="1:22" x14ac:dyDescent="0.4">
      <c r="A68" s="23">
        <v>9.75</v>
      </c>
      <c r="B68" s="24"/>
      <c r="C68" s="23"/>
      <c r="D68" s="24"/>
      <c r="E68" s="23"/>
      <c r="F68" s="24"/>
      <c r="G68" s="23"/>
      <c r="H68" s="24"/>
      <c r="I68" s="23"/>
      <c r="J68" s="24"/>
      <c r="M68" s="23">
        <v>9.75</v>
      </c>
      <c r="N68" s="22">
        <f t="shared" si="16"/>
        <v>1E-4</v>
      </c>
      <c r="O68" s="23"/>
      <c r="P68" s="24"/>
      <c r="Q68" s="23"/>
      <c r="R68" s="24"/>
      <c r="S68" s="23"/>
      <c r="T68" s="24"/>
      <c r="U68" s="23"/>
      <c r="V68" s="24"/>
    </row>
    <row r="69" spans="1:22" x14ac:dyDescent="0.4">
      <c r="A69" s="23">
        <v>10</v>
      </c>
      <c r="B69" s="24"/>
      <c r="C69" s="23"/>
      <c r="D69" s="24"/>
      <c r="E69" s="23"/>
      <c r="F69" s="24"/>
      <c r="G69" s="23"/>
      <c r="H69" s="24"/>
      <c r="I69" s="23"/>
      <c r="J69" s="24"/>
      <c r="M69" s="23">
        <v>10</v>
      </c>
      <c r="N69" s="22">
        <f t="shared" si="16"/>
        <v>1E-4</v>
      </c>
      <c r="O69" s="23"/>
      <c r="P69" s="24"/>
      <c r="Q69" s="23"/>
      <c r="R69" s="24"/>
      <c r="S69" s="23"/>
      <c r="T69" s="24"/>
      <c r="U69" s="23"/>
      <c r="V69" s="24"/>
    </row>
    <row r="70" spans="1:22" x14ac:dyDescent="0.4">
      <c r="A70" s="23">
        <v>12</v>
      </c>
      <c r="B70" s="24"/>
      <c r="C70" s="23"/>
      <c r="D70" s="24"/>
      <c r="E70" s="23"/>
      <c r="F70" s="24"/>
      <c r="G70" s="23"/>
      <c r="H70" s="24"/>
      <c r="I70" s="23"/>
      <c r="J70" s="24"/>
      <c r="M70" s="23">
        <v>12</v>
      </c>
      <c r="N70" s="22">
        <f t="shared" si="16"/>
        <v>1E-4</v>
      </c>
      <c r="O70" s="23"/>
      <c r="P70" s="24"/>
      <c r="Q70" s="23"/>
      <c r="R70" s="24"/>
      <c r="S70" s="23"/>
      <c r="T70" s="24"/>
      <c r="U70" s="23"/>
      <c r="V70" s="24"/>
    </row>
    <row r="71" spans="1:22" x14ac:dyDescent="0.4">
      <c r="A71" s="23">
        <v>15</v>
      </c>
      <c r="B71" s="24"/>
      <c r="C71" s="23"/>
      <c r="D71" s="24"/>
      <c r="E71" s="23"/>
      <c r="F71" s="24"/>
      <c r="G71" s="23"/>
      <c r="H71" s="24"/>
      <c r="I71" s="23"/>
      <c r="J71" s="24"/>
      <c r="M71" s="23">
        <v>15</v>
      </c>
      <c r="N71" s="22">
        <f t="shared" si="16"/>
        <v>1E-4</v>
      </c>
      <c r="O71" s="23"/>
      <c r="P71" s="24"/>
      <c r="Q71" s="23"/>
      <c r="R71" s="24"/>
      <c r="S71" s="23"/>
      <c r="T71" s="24"/>
      <c r="U71" s="23"/>
      <c r="V71" s="24"/>
    </row>
    <row r="72" spans="1:22" x14ac:dyDescent="0.4">
      <c r="A72" s="25">
        <v>20</v>
      </c>
      <c r="B72" s="26"/>
      <c r="C72" s="25"/>
      <c r="D72" s="26"/>
      <c r="E72" s="25"/>
      <c r="F72" s="26"/>
      <c r="G72" s="25"/>
      <c r="H72" s="26"/>
      <c r="I72" s="25"/>
      <c r="J72" s="26"/>
      <c r="M72" s="25">
        <v>20</v>
      </c>
      <c r="N72" s="22">
        <f t="shared" si="16"/>
        <v>1E-4</v>
      </c>
      <c r="O72" s="25"/>
      <c r="P72" s="26"/>
      <c r="Q72" s="25"/>
      <c r="R72" s="26"/>
      <c r="S72" s="25"/>
      <c r="T72" s="26"/>
      <c r="U72" s="25"/>
      <c r="V72" s="26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A5:I5"/>
    <mergeCell ref="B18:B19"/>
    <mergeCell ref="C18:C19"/>
    <mergeCell ref="N6:N7"/>
    <mergeCell ref="O6:U6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7" t="s">
        <v>51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D2" s="47" t="s">
        <v>36</v>
      </c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</row>
    <row r="3" spans="1:56" x14ac:dyDescent="0.4">
      <c r="A3" s="7" t="s">
        <v>3</v>
      </c>
      <c r="B3" s="40" t="s">
        <v>46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D3" s="7" t="s">
        <v>3</v>
      </c>
      <c r="AE3" s="40" t="s">
        <v>46</v>
      </c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0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0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0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0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0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0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0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0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0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0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0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0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0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0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0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0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0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0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0" t="s">
        <v>46</v>
      </c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D15" s="7" t="s">
        <v>3</v>
      </c>
      <c r="AE15" s="40" t="s">
        <v>46</v>
      </c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0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0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0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0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0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0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0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0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0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0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0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0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0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0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0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0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0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0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0" t="s">
        <v>46</v>
      </c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D27" s="7" t="s">
        <v>3</v>
      </c>
      <c r="AE27" s="40" t="s">
        <v>46</v>
      </c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0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0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0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0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0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0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0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0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0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0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0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0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0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0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0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0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0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0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0" t="s">
        <v>46</v>
      </c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D39" s="7" t="s">
        <v>3</v>
      </c>
      <c r="AE39" s="40" t="s">
        <v>46</v>
      </c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0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0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0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0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0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0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0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0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0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0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0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0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0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0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0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0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0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0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B27:AA27"/>
    <mergeCell ref="A29:A37"/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K4" sqref="K4:T95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133</v>
      </c>
      <c r="B1" s="29">
        <v>45394</v>
      </c>
    </row>
    <row r="2" spans="1:20" x14ac:dyDescent="0.4">
      <c r="B2" s="30"/>
    </row>
    <row r="3" spans="1:20" x14ac:dyDescent="0.4">
      <c r="A3" s="31" t="s">
        <v>128</v>
      </c>
      <c r="E3" s="31" t="s">
        <v>129</v>
      </c>
      <c r="K3" t="s">
        <v>134</v>
      </c>
    </row>
    <row r="4" spans="1:20" x14ac:dyDescent="0.4">
      <c r="A4" s="28" t="s">
        <v>126</v>
      </c>
      <c r="B4" s="28" t="s">
        <v>127</v>
      </c>
      <c r="C4" s="28" t="s">
        <v>135</v>
      </c>
      <c r="E4" s="28" t="s">
        <v>130</v>
      </c>
      <c r="F4" s="28" t="s">
        <v>131</v>
      </c>
      <c r="G4" s="28" t="s">
        <v>132</v>
      </c>
      <c r="K4" s="48" t="s">
        <v>152</v>
      </c>
      <c r="L4" s="49"/>
      <c r="M4" s="49"/>
      <c r="N4" s="49"/>
      <c r="O4" s="49"/>
      <c r="P4" s="49"/>
      <c r="Q4" s="49"/>
      <c r="R4" s="49"/>
      <c r="S4" s="49"/>
      <c r="T4" s="49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9"/>
      <c r="L5" s="49"/>
      <c r="M5" s="49"/>
      <c r="N5" s="49"/>
      <c r="O5" s="49"/>
      <c r="P5" s="49"/>
      <c r="Q5" s="49"/>
      <c r="R5" s="49"/>
      <c r="S5" s="49"/>
      <c r="T5" s="49"/>
    </row>
    <row r="6" spans="1:20" x14ac:dyDescent="0.4">
      <c r="A6" s="13"/>
      <c r="B6" s="13"/>
      <c r="C6" s="13"/>
      <c r="E6" s="13"/>
      <c r="F6" s="13"/>
      <c r="G6" s="13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0" x14ac:dyDescent="0.4">
      <c r="A7" s="13"/>
      <c r="B7" s="13"/>
      <c r="C7" s="13"/>
      <c r="E7" s="13"/>
      <c r="F7" s="13"/>
      <c r="G7" s="13"/>
      <c r="K7" s="49"/>
      <c r="L7" s="49"/>
      <c r="M7" s="49"/>
      <c r="N7" s="49"/>
      <c r="O7" s="49"/>
      <c r="P7" s="49"/>
      <c r="Q7" s="49"/>
      <c r="R7" s="49"/>
      <c r="S7" s="49"/>
      <c r="T7" s="49"/>
    </row>
    <row r="8" spans="1:20" x14ac:dyDescent="0.4">
      <c r="A8" s="13"/>
      <c r="B8" s="13"/>
      <c r="C8" s="13"/>
      <c r="E8" s="13"/>
      <c r="F8" s="13"/>
      <c r="G8" s="13"/>
      <c r="K8" s="49"/>
      <c r="L8" s="49"/>
      <c r="M8" s="49"/>
      <c r="N8" s="49"/>
      <c r="O8" s="49"/>
      <c r="P8" s="49"/>
      <c r="Q8" s="49"/>
      <c r="R8" s="49"/>
      <c r="S8" s="49"/>
      <c r="T8" s="49"/>
    </row>
    <row r="9" spans="1:20" x14ac:dyDescent="0.4">
      <c r="A9" s="13"/>
      <c r="B9" s="13"/>
      <c r="C9" s="13"/>
      <c r="E9" s="13"/>
      <c r="F9" s="13"/>
      <c r="G9" s="13"/>
      <c r="K9" s="49"/>
      <c r="L9" s="49"/>
      <c r="M9" s="49"/>
      <c r="N9" s="49"/>
      <c r="O9" s="49"/>
      <c r="P9" s="49"/>
      <c r="Q9" s="49"/>
      <c r="R9" s="49"/>
      <c r="S9" s="49"/>
      <c r="T9" s="49"/>
    </row>
    <row r="10" spans="1:20" x14ac:dyDescent="0.4">
      <c r="A10" s="13"/>
      <c r="B10" s="13"/>
      <c r="C10" s="13"/>
      <c r="E10" s="13"/>
      <c r="F10" s="13"/>
      <c r="G10" s="13"/>
      <c r="K10" s="49"/>
      <c r="L10" s="49"/>
      <c r="M10" s="49"/>
      <c r="N10" s="49"/>
      <c r="O10" s="49"/>
      <c r="P10" s="49"/>
      <c r="Q10" s="49"/>
      <c r="R10" s="49"/>
      <c r="S10" s="49"/>
      <c r="T10" s="49"/>
    </row>
    <row r="11" spans="1:20" x14ac:dyDescent="0.4">
      <c r="A11" s="13"/>
      <c r="B11" s="13"/>
      <c r="C11" s="13"/>
      <c r="E11" s="13"/>
      <c r="F11" s="13"/>
      <c r="G11" s="13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1:20" x14ac:dyDescent="0.4">
      <c r="A12" s="13"/>
      <c r="B12" s="13"/>
      <c r="C12" s="13"/>
      <c r="E12" s="13"/>
      <c r="F12" s="13"/>
      <c r="G12" s="13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0" x14ac:dyDescent="0.4">
      <c r="A13" s="13"/>
      <c r="B13" s="13"/>
      <c r="C13" s="13"/>
      <c r="E13" s="13"/>
      <c r="F13" s="13"/>
      <c r="G13" s="13"/>
      <c r="K13" s="49"/>
      <c r="L13" s="49"/>
      <c r="M13" s="49"/>
      <c r="N13" s="49"/>
      <c r="O13" s="49"/>
      <c r="P13" s="49"/>
      <c r="Q13" s="49"/>
      <c r="R13" s="49"/>
      <c r="S13" s="49"/>
      <c r="T13" s="49"/>
    </row>
    <row r="14" spans="1:20" x14ac:dyDescent="0.4">
      <c r="A14" s="13"/>
      <c r="B14" s="13"/>
      <c r="C14" s="13"/>
      <c r="E14" s="13"/>
      <c r="F14" s="13"/>
      <c r="G14" s="13"/>
      <c r="K14" s="49"/>
      <c r="L14" s="49"/>
      <c r="M14" s="49"/>
      <c r="N14" s="49"/>
      <c r="O14" s="49"/>
      <c r="P14" s="49"/>
      <c r="Q14" s="49"/>
      <c r="R14" s="49"/>
      <c r="S14" s="49"/>
      <c r="T14" s="49"/>
    </row>
    <row r="15" spans="1:20" x14ac:dyDescent="0.4">
      <c r="A15" s="13"/>
      <c r="B15" s="13"/>
      <c r="C15" s="13"/>
      <c r="E15" s="13"/>
      <c r="F15" s="13"/>
      <c r="G15" s="13"/>
      <c r="K15" s="49"/>
      <c r="L15" s="49"/>
      <c r="M15" s="49"/>
      <c r="N15" s="49"/>
      <c r="O15" s="49"/>
      <c r="P15" s="49"/>
      <c r="Q15" s="49"/>
      <c r="R15" s="49"/>
      <c r="S15" s="49"/>
      <c r="T15" s="49"/>
    </row>
    <row r="16" spans="1:20" x14ac:dyDescent="0.4">
      <c r="A16" s="13"/>
      <c r="B16" s="13"/>
      <c r="C16" s="13"/>
      <c r="E16" s="13"/>
      <c r="F16" s="13"/>
      <c r="G16" s="13"/>
      <c r="K16" s="49"/>
      <c r="L16" s="49"/>
      <c r="M16" s="49"/>
      <c r="N16" s="49"/>
      <c r="O16" s="49"/>
      <c r="P16" s="49"/>
      <c r="Q16" s="49"/>
      <c r="R16" s="49"/>
      <c r="S16" s="49"/>
      <c r="T16" s="49"/>
    </row>
    <row r="17" spans="1:20" x14ac:dyDescent="0.4">
      <c r="A17" s="13"/>
      <c r="B17" s="13"/>
      <c r="C17" s="13"/>
      <c r="E17" s="13"/>
      <c r="F17" s="13"/>
      <c r="G17" s="13"/>
      <c r="K17" s="49"/>
      <c r="L17" s="49"/>
      <c r="M17" s="49"/>
      <c r="N17" s="49"/>
      <c r="O17" s="49"/>
      <c r="P17" s="49"/>
      <c r="Q17" s="49"/>
      <c r="R17" s="49"/>
      <c r="S17" s="49"/>
      <c r="T17" s="49"/>
    </row>
    <row r="18" spans="1:20" x14ac:dyDescent="0.4">
      <c r="A18" s="13"/>
      <c r="B18" s="13"/>
      <c r="C18" s="13"/>
      <c r="E18" s="13"/>
      <c r="F18" s="13"/>
      <c r="G18" s="13"/>
      <c r="K18" s="49"/>
      <c r="L18" s="49"/>
      <c r="M18" s="49"/>
      <c r="N18" s="49"/>
      <c r="O18" s="49"/>
      <c r="P18" s="49"/>
      <c r="Q18" s="49"/>
      <c r="R18" s="49"/>
      <c r="S18" s="49"/>
      <c r="T18" s="49"/>
    </row>
    <row r="19" spans="1:20" x14ac:dyDescent="0.4">
      <c r="A19" s="13"/>
      <c r="B19" s="13"/>
      <c r="C19" s="13"/>
      <c r="E19" s="13"/>
      <c r="F19" s="13"/>
      <c r="G19" s="13"/>
      <c r="K19" s="49"/>
      <c r="L19" s="49"/>
      <c r="M19" s="49"/>
      <c r="N19" s="49"/>
      <c r="O19" s="49"/>
      <c r="P19" s="49"/>
      <c r="Q19" s="49"/>
      <c r="R19" s="49"/>
      <c r="S19" s="49"/>
      <c r="T19" s="49"/>
    </row>
    <row r="20" spans="1:20" x14ac:dyDescent="0.4">
      <c r="A20" s="13"/>
      <c r="B20" s="13"/>
      <c r="C20" s="13"/>
      <c r="E20" s="13"/>
      <c r="F20" s="13"/>
      <c r="G20" s="13"/>
      <c r="K20" s="49"/>
      <c r="L20" s="49"/>
      <c r="M20" s="49"/>
      <c r="N20" s="49"/>
      <c r="O20" s="49"/>
      <c r="P20" s="49"/>
      <c r="Q20" s="49"/>
      <c r="R20" s="49"/>
      <c r="S20" s="49"/>
      <c r="T20" s="49"/>
    </row>
    <row r="21" spans="1:20" x14ac:dyDescent="0.4">
      <c r="A21" s="13"/>
      <c r="B21" s="13"/>
      <c r="C21" s="13"/>
      <c r="E21" s="13"/>
      <c r="F21" s="13"/>
      <c r="G21" s="13"/>
      <c r="K21" s="49"/>
      <c r="L21" s="49"/>
      <c r="M21" s="49"/>
      <c r="N21" s="49"/>
      <c r="O21" s="49"/>
      <c r="P21" s="49"/>
      <c r="Q21" s="49"/>
      <c r="R21" s="49"/>
      <c r="S21" s="49"/>
      <c r="T21" s="49"/>
    </row>
    <row r="22" spans="1:20" x14ac:dyDescent="0.4">
      <c r="A22" s="13"/>
      <c r="B22" s="13"/>
      <c r="C22" s="13"/>
      <c r="E22" s="13"/>
      <c r="F22" s="13"/>
      <c r="G22" s="13"/>
      <c r="K22" s="49"/>
      <c r="L22" s="49"/>
      <c r="M22" s="49"/>
      <c r="N22" s="49"/>
      <c r="O22" s="49"/>
      <c r="P22" s="49"/>
      <c r="Q22" s="49"/>
      <c r="R22" s="49"/>
      <c r="S22" s="49"/>
      <c r="T22" s="49"/>
    </row>
    <row r="23" spans="1:20" x14ac:dyDescent="0.4">
      <c r="A23" s="13"/>
      <c r="B23" s="13"/>
      <c r="C23" s="13"/>
      <c r="E23" s="13"/>
      <c r="F23" s="13"/>
      <c r="G23" s="13"/>
      <c r="K23" s="49"/>
      <c r="L23" s="49"/>
      <c r="M23" s="49"/>
      <c r="N23" s="49"/>
      <c r="O23" s="49"/>
      <c r="P23" s="49"/>
      <c r="Q23" s="49"/>
      <c r="R23" s="49"/>
      <c r="S23" s="49"/>
      <c r="T23" s="49"/>
    </row>
    <row r="24" spans="1:20" x14ac:dyDescent="0.4">
      <c r="A24" s="13"/>
      <c r="B24" s="13"/>
      <c r="C24" s="13"/>
      <c r="E24" s="13"/>
      <c r="F24" s="13"/>
      <c r="G24" s="13"/>
      <c r="K24" s="49"/>
      <c r="L24" s="49"/>
      <c r="M24" s="49"/>
      <c r="N24" s="49"/>
      <c r="O24" s="49"/>
      <c r="P24" s="49"/>
      <c r="Q24" s="49"/>
      <c r="R24" s="49"/>
      <c r="S24" s="49"/>
      <c r="T24" s="49"/>
    </row>
    <row r="25" spans="1:20" x14ac:dyDescent="0.4">
      <c r="A25" s="13"/>
      <c r="B25" s="13"/>
      <c r="C25" s="13"/>
      <c r="E25" s="13"/>
      <c r="F25" s="13"/>
      <c r="G25" s="13"/>
      <c r="K25" s="49"/>
      <c r="L25" s="49"/>
      <c r="M25" s="49"/>
      <c r="N25" s="49"/>
      <c r="O25" s="49"/>
      <c r="P25" s="49"/>
      <c r="Q25" s="49"/>
      <c r="R25" s="49"/>
      <c r="S25" s="49"/>
      <c r="T25" s="49"/>
    </row>
    <row r="26" spans="1:20" x14ac:dyDescent="0.4">
      <c r="A26" s="13"/>
      <c r="B26" s="13"/>
      <c r="C26" s="13"/>
      <c r="E26" s="13"/>
      <c r="F26" s="13"/>
      <c r="G26" s="13"/>
      <c r="K26" s="49"/>
      <c r="L26" s="49"/>
      <c r="M26" s="49"/>
      <c r="N26" s="49"/>
      <c r="O26" s="49"/>
      <c r="P26" s="49"/>
      <c r="Q26" s="49"/>
      <c r="R26" s="49"/>
      <c r="S26" s="49"/>
      <c r="T26" s="49"/>
    </row>
    <row r="27" spans="1:20" x14ac:dyDescent="0.4">
      <c r="A27" s="13"/>
      <c r="B27" s="13"/>
      <c r="C27" s="13"/>
      <c r="E27" s="13"/>
      <c r="F27" s="13"/>
      <c r="G27" s="13"/>
      <c r="K27" s="49"/>
      <c r="L27" s="49"/>
      <c r="M27" s="49"/>
      <c r="N27" s="49"/>
      <c r="O27" s="49"/>
      <c r="P27" s="49"/>
      <c r="Q27" s="49"/>
      <c r="R27" s="49"/>
      <c r="S27" s="49"/>
      <c r="T27" s="49"/>
    </row>
    <row r="28" spans="1:20" x14ac:dyDescent="0.4">
      <c r="A28" s="13"/>
      <c r="B28" s="13"/>
      <c r="C28" s="13"/>
      <c r="E28" s="13"/>
      <c r="F28" s="13"/>
      <c r="G28" s="13"/>
      <c r="K28" s="49"/>
      <c r="L28" s="49"/>
      <c r="M28" s="49"/>
      <c r="N28" s="49"/>
      <c r="O28" s="49"/>
      <c r="P28" s="49"/>
      <c r="Q28" s="49"/>
      <c r="R28" s="49"/>
      <c r="S28" s="49"/>
      <c r="T28" s="49"/>
    </row>
    <row r="29" spans="1:20" x14ac:dyDescent="0.4">
      <c r="A29" s="13"/>
      <c r="B29" s="13"/>
      <c r="C29" s="13"/>
      <c r="E29" s="13"/>
      <c r="F29" s="13"/>
      <c r="G29" s="13"/>
      <c r="K29" s="49"/>
      <c r="L29" s="49"/>
      <c r="M29" s="49"/>
      <c r="N29" s="49"/>
      <c r="O29" s="49"/>
      <c r="P29" s="49"/>
      <c r="Q29" s="49"/>
      <c r="R29" s="49"/>
      <c r="S29" s="49"/>
      <c r="T29" s="49"/>
    </row>
    <row r="30" spans="1:20" x14ac:dyDescent="0.4">
      <c r="A30" s="13"/>
      <c r="B30" s="13"/>
      <c r="C30" s="13"/>
      <c r="E30" s="13"/>
      <c r="F30" s="13"/>
      <c r="G30" s="13"/>
      <c r="K30" s="49"/>
      <c r="L30" s="49"/>
      <c r="M30" s="49"/>
      <c r="N30" s="49"/>
      <c r="O30" s="49"/>
      <c r="P30" s="49"/>
      <c r="Q30" s="49"/>
      <c r="R30" s="49"/>
      <c r="S30" s="49"/>
      <c r="T30" s="49"/>
    </row>
    <row r="31" spans="1:20" x14ac:dyDescent="0.4">
      <c r="A31" s="13"/>
      <c r="B31" s="13"/>
      <c r="C31" s="13"/>
      <c r="E31" s="13"/>
      <c r="F31" s="13"/>
      <c r="G31" s="13"/>
      <c r="K31" s="49"/>
      <c r="L31" s="49"/>
      <c r="M31" s="49"/>
      <c r="N31" s="49"/>
      <c r="O31" s="49"/>
      <c r="P31" s="49"/>
      <c r="Q31" s="49"/>
      <c r="R31" s="49"/>
      <c r="S31" s="49"/>
      <c r="T31" s="49"/>
    </row>
    <row r="32" spans="1:20" x14ac:dyDescent="0.4">
      <c r="A32" s="13"/>
      <c r="B32" s="13"/>
      <c r="C32" s="13"/>
      <c r="E32" s="13"/>
      <c r="F32" s="13"/>
      <c r="G32" s="13"/>
      <c r="K32" s="49"/>
      <c r="L32" s="49"/>
      <c r="M32" s="49"/>
      <c r="N32" s="49"/>
      <c r="O32" s="49"/>
      <c r="P32" s="49"/>
      <c r="Q32" s="49"/>
      <c r="R32" s="49"/>
      <c r="S32" s="49"/>
      <c r="T32" s="49"/>
    </row>
    <row r="33" spans="1:20" x14ac:dyDescent="0.4">
      <c r="A33" s="13"/>
      <c r="B33" s="13"/>
      <c r="C33" s="13"/>
      <c r="E33" s="13"/>
      <c r="F33" s="13"/>
      <c r="G33" s="13"/>
      <c r="K33" s="49"/>
      <c r="L33" s="49"/>
      <c r="M33" s="49"/>
      <c r="N33" s="49"/>
      <c r="O33" s="49"/>
      <c r="P33" s="49"/>
      <c r="Q33" s="49"/>
      <c r="R33" s="49"/>
      <c r="S33" s="49"/>
      <c r="T33" s="49"/>
    </row>
    <row r="34" spans="1:20" x14ac:dyDescent="0.4">
      <c r="A34" s="13"/>
      <c r="B34" s="13"/>
      <c r="C34" s="13"/>
      <c r="E34" s="13"/>
      <c r="F34" s="13"/>
      <c r="G34" s="13"/>
      <c r="K34" s="49"/>
      <c r="L34" s="49"/>
      <c r="M34" s="49"/>
      <c r="N34" s="49"/>
      <c r="O34" s="49"/>
      <c r="P34" s="49"/>
      <c r="Q34" s="49"/>
      <c r="R34" s="49"/>
      <c r="S34" s="49"/>
      <c r="T34" s="49"/>
    </row>
    <row r="35" spans="1:20" x14ac:dyDescent="0.4">
      <c r="A35" s="13"/>
      <c r="B35" s="13"/>
      <c r="C35" s="13"/>
      <c r="E35" s="13"/>
      <c r="F35" s="13"/>
      <c r="G35" s="13"/>
      <c r="K35" s="49"/>
      <c r="L35" s="49"/>
      <c r="M35" s="49"/>
      <c r="N35" s="49"/>
      <c r="O35" s="49"/>
      <c r="P35" s="49"/>
      <c r="Q35" s="49"/>
      <c r="R35" s="49"/>
      <c r="S35" s="49"/>
      <c r="T35" s="49"/>
    </row>
    <row r="36" spans="1:20" x14ac:dyDescent="0.4">
      <c r="A36" s="13"/>
      <c r="B36" s="13"/>
      <c r="C36" s="13"/>
      <c r="E36" s="13"/>
      <c r="F36" s="13"/>
      <c r="G36" s="13"/>
      <c r="K36" s="49"/>
      <c r="L36" s="49"/>
      <c r="M36" s="49"/>
      <c r="N36" s="49"/>
      <c r="O36" s="49"/>
      <c r="P36" s="49"/>
      <c r="Q36" s="49"/>
      <c r="R36" s="49"/>
      <c r="S36" s="49"/>
      <c r="T36" s="49"/>
    </row>
    <row r="37" spans="1:20" x14ac:dyDescent="0.4">
      <c r="A37" s="13"/>
      <c r="B37" s="13"/>
      <c r="C37" s="13"/>
      <c r="E37" s="13"/>
      <c r="F37" s="13"/>
      <c r="G37" s="13"/>
      <c r="K37" s="49"/>
      <c r="L37" s="49"/>
      <c r="M37" s="49"/>
      <c r="N37" s="49"/>
      <c r="O37" s="49"/>
      <c r="P37" s="49"/>
      <c r="Q37" s="49"/>
      <c r="R37" s="49"/>
      <c r="S37" s="49"/>
      <c r="T37" s="49"/>
    </row>
    <row r="38" spans="1:20" x14ac:dyDescent="0.4">
      <c r="A38" s="13"/>
      <c r="B38" s="13"/>
      <c r="C38" s="13"/>
      <c r="E38" s="13"/>
      <c r="F38" s="13"/>
      <c r="G38" s="13"/>
      <c r="K38" s="49"/>
      <c r="L38" s="49"/>
      <c r="M38" s="49"/>
      <c r="N38" s="49"/>
      <c r="O38" s="49"/>
      <c r="P38" s="49"/>
      <c r="Q38" s="49"/>
      <c r="R38" s="49"/>
      <c r="S38" s="49"/>
      <c r="T38" s="49"/>
    </row>
    <row r="39" spans="1:20" x14ac:dyDescent="0.4">
      <c r="A39" s="13"/>
      <c r="B39" s="13"/>
      <c r="C39" s="13"/>
      <c r="E39" s="13"/>
      <c r="F39" s="13"/>
      <c r="G39" s="13"/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1:20" x14ac:dyDescent="0.4">
      <c r="A40" s="13"/>
      <c r="B40" s="13"/>
      <c r="C40" s="13"/>
      <c r="E40" s="13"/>
      <c r="F40" s="13"/>
      <c r="G40" s="13"/>
      <c r="K40" s="49"/>
      <c r="L40" s="49"/>
      <c r="M40" s="49"/>
      <c r="N40" s="49"/>
      <c r="O40" s="49"/>
      <c r="P40" s="49"/>
      <c r="Q40" s="49"/>
      <c r="R40" s="49"/>
      <c r="S40" s="49"/>
      <c r="T40" s="49"/>
    </row>
    <row r="41" spans="1:20" x14ac:dyDescent="0.4">
      <c r="A41" s="13"/>
      <c r="B41" s="13"/>
      <c r="C41" s="13"/>
      <c r="E41" s="13"/>
      <c r="F41" s="13"/>
      <c r="G41" s="13"/>
      <c r="K41" s="49"/>
      <c r="L41" s="49"/>
      <c r="M41" s="49"/>
      <c r="N41" s="49"/>
      <c r="O41" s="49"/>
      <c r="P41" s="49"/>
      <c r="Q41" s="49"/>
      <c r="R41" s="49"/>
      <c r="S41" s="49"/>
      <c r="T41" s="49"/>
    </row>
    <row r="42" spans="1:20" x14ac:dyDescent="0.4">
      <c r="A42" s="13"/>
      <c r="B42" s="13"/>
      <c r="C42" s="13"/>
      <c r="E42" s="13"/>
      <c r="F42" s="13"/>
      <c r="G42" s="13"/>
      <c r="K42" s="49"/>
      <c r="L42" s="49"/>
      <c r="M42" s="49"/>
      <c r="N42" s="49"/>
      <c r="O42" s="49"/>
      <c r="P42" s="49"/>
      <c r="Q42" s="49"/>
      <c r="R42" s="49"/>
      <c r="S42" s="49"/>
      <c r="T42" s="49"/>
    </row>
    <row r="43" spans="1:20" x14ac:dyDescent="0.4">
      <c r="A43" s="13"/>
      <c r="B43" s="13"/>
      <c r="C43" s="13"/>
      <c r="E43" s="13"/>
      <c r="F43" s="13"/>
      <c r="G43" s="13"/>
      <c r="K43" s="49"/>
      <c r="L43" s="49"/>
      <c r="M43" s="49"/>
      <c r="N43" s="49"/>
      <c r="O43" s="49"/>
      <c r="P43" s="49"/>
      <c r="Q43" s="49"/>
      <c r="R43" s="49"/>
      <c r="S43" s="49"/>
      <c r="T43" s="49"/>
    </row>
    <row r="44" spans="1:20" x14ac:dyDescent="0.4">
      <c r="A44" s="13"/>
      <c r="B44" s="13"/>
      <c r="C44" s="13"/>
      <c r="E44" s="13"/>
      <c r="F44" s="13"/>
      <c r="G44" s="13"/>
      <c r="K44" s="49"/>
      <c r="L44" s="49"/>
      <c r="M44" s="49"/>
      <c r="N44" s="49"/>
      <c r="O44" s="49"/>
      <c r="P44" s="49"/>
      <c r="Q44" s="49"/>
      <c r="R44" s="49"/>
      <c r="S44" s="49"/>
      <c r="T44" s="49"/>
    </row>
    <row r="45" spans="1:20" x14ac:dyDescent="0.4">
      <c r="A45" s="13"/>
      <c r="B45" s="13"/>
      <c r="C45" s="13"/>
      <c r="E45" s="13"/>
      <c r="F45" s="13"/>
      <c r="G45" s="13"/>
      <c r="K45" s="49"/>
      <c r="L45" s="49"/>
      <c r="M45" s="49"/>
      <c r="N45" s="49"/>
      <c r="O45" s="49"/>
      <c r="P45" s="49"/>
      <c r="Q45" s="49"/>
      <c r="R45" s="49"/>
      <c r="S45" s="49"/>
      <c r="T45" s="49"/>
    </row>
    <row r="46" spans="1:20" x14ac:dyDescent="0.4">
      <c r="A46" s="13"/>
      <c r="B46" s="13"/>
      <c r="C46" s="13"/>
      <c r="E46" s="13"/>
      <c r="F46" s="13"/>
      <c r="G46" s="13"/>
      <c r="K46" s="49"/>
      <c r="L46" s="49"/>
      <c r="M46" s="49"/>
      <c r="N46" s="49"/>
      <c r="O46" s="49"/>
      <c r="P46" s="49"/>
      <c r="Q46" s="49"/>
      <c r="R46" s="49"/>
      <c r="S46" s="49"/>
      <c r="T46" s="49"/>
    </row>
    <row r="47" spans="1:20" x14ac:dyDescent="0.4">
      <c r="A47" s="13"/>
      <c r="B47" s="13"/>
      <c r="C47" s="13"/>
      <c r="E47" s="13"/>
      <c r="F47" s="13"/>
      <c r="G47" s="13"/>
      <c r="K47" s="49"/>
      <c r="L47" s="49"/>
      <c r="M47" s="49"/>
      <c r="N47" s="49"/>
      <c r="O47" s="49"/>
      <c r="P47" s="49"/>
      <c r="Q47" s="49"/>
      <c r="R47" s="49"/>
      <c r="S47" s="49"/>
      <c r="T47" s="49"/>
    </row>
    <row r="48" spans="1:20" x14ac:dyDescent="0.4">
      <c r="A48" s="13"/>
      <c r="B48" s="13"/>
      <c r="C48" s="13"/>
      <c r="E48" s="13"/>
      <c r="F48" s="13"/>
      <c r="G48" s="13"/>
      <c r="K48" s="49"/>
      <c r="L48" s="49"/>
      <c r="M48" s="49"/>
      <c r="N48" s="49"/>
      <c r="O48" s="49"/>
      <c r="P48" s="49"/>
      <c r="Q48" s="49"/>
      <c r="R48" s="49"/>
      <c r="S48" s="49"/>
      <c r="T48" s="49"/>
    </row>
    <row r="49" spans="1:20" x14ac:dyDescent="0.4">
      <c r="A49" s="13"/>
      <c r="B49" s="13"/>
      <c r="C49" s="13"/>
      <c r="E49" s="13"/>
      <c r="F49" s="13"/>
      <c r="G49" s="13"/>
      <c r="K49" s="49"/>
      <c r="L49" s="49"/>
      <c r="M49" s="49"/>
      <c r="N49" s="49"/>
      <c r="O49" s="49"/>
      <c r="P49" s="49"/>
      <c r="Q49" s="49"/>
      <c r="R49" s="49"/>
      <c r="S49" s="49"/>
      <c r="T49" s="49"/>
    </row>
    <row r="50" spans="1:20" x14ac:dyDescent="0.4">
      <c r="A50" s="13"/>
      <c r="B50" s="13"/>
      <c r="C50" s="13"/>
      <c r="E50" s="13"/>
      <c r="F50" s="13"/>
      <c r="G50" s="13"/>
      <c r="K50" s="49"/>
      <c r="L50" s="49"/>
      <c r="M50" s="49"/>
      <c r="N50" s="49"/>
      <c r="O50" s="49"/>
      <c r="P50" s="49"/>
      <c r="Q50" s="49"/>
      <c r="R50" s="49"/>
      <c r="S50" s="49"/>
      <c r="T50" s="49"/>
    </row>
    <row r="51" spans="1:20" x14ac:dyDescent="0.4">
      <c r="A51" s="13"/>
      <c r="B51" s="13"/>
      <c r="C51" s="13"/>
      <c r="E51" s="13"/>
      <c r="F51" s="13"/>
      <c r="G51" s="13"/>
      <c r="K51" s="49"/>
      <c r="L51" s="49"/>
      <c r="M51" s="49"/>
      <c r="N51" s="49"/>
      <c r="O51" s="49"/>
      <c r="P51" s="49"/>
      <c r="Q51" s="49"/>
      <c r="R51" s="49"/>
      <c r="S51" s="49"/>
      <c r="T51" s="49"/>
    </row>
    <row r="52" spans="1:20" x14ac:dyDescent="0.4">
      <c r="A52" s="13"/>
      <c r="B52" s="13"/>
      <c r="C52" s="13"/>
      <c r="E52" s="13"/>
      <c r="F52" s="13"/>
      <c r="G52" s="13"/>
      <c r="K52" s="49"/>
      <c r="L52" s="49"/>
      <c r="M52" s="49"/>
      <c r="N52" s="49"/>
      <c r="O52" s="49"/>
      <c r="P52" s="49"/>
      <c r="Q52" s="49"/>
      <c r="R52" s="49"/>
      <c r="S52" s="49"/>
      <c r="T52" s="49"/>
    </row>
    <row r="53" spans="1:20" x14ac:dyDescent="0.4">
      <c r="A53" s="13"/>
      <c r="B53" s="13"/>
      <c r="C53" s="13"/>
      <c r="E53" s="13"/>
      <c r="F53" s="13"/>
      <c r="G53" s="13"/>
      <c r="K53" s="49"/>
      <c r="L53" s="49"/>
      <c r="M53" s="49"/>
      <c r="N53" s="49"/>
      <c r="O53" s="49"/>
      <c r="P53" s="49"/>
      <c r="Q53" s="49"/>
      <c r="R53" s="49"/>
      <c r="S53" s="49"/>
      <c r="T53" s="49"/>
    </row>
    <row r="54" spans="1:20" x14ac:dyDescent="0.4">
      <c r="A54" s="13"/>
      <c r="B54" s="13"/>
      <c r="C54" s="13"/>
      <c r="E54" s="13"/>
      <c r="F54" s="13"/>
      <c r="G54" s="13"/>
      <c r="K54" s="49"/>
      <c r="L54" s="49"/>
      <c r="M54" s="49"/>
      <c r="N54" s="49"/>
      <c r="O54" s="49"/>
      <c r="P54" s="49"/>
      <c r="Q54" s="49"/>
      <c r="R54" s="49"/>
      <c r="S54" s="49"/>
      <c r="T54" s="49"/>
    </row>
    <row r="55" spans="1:20" x14ac:dyDescent="0.4">
      <c r="A55" s="13"/>
      <c r="B55" s="13"/>
      <c r="C55" s="13"/>
      <c r="E55" s="13"/>
      <c r="F55" s="13"/>
      <c r="G55" s="13"/>
      <c r="K55" s="49"/>
      <c r="L55" s="49"/>
      <c r="M55" s="49"/>
      <c r="N55" s="49"/>
      <c r="O55" s="49"/>
      <c r="P55" s="49"/>
      <c r="Q55" s="49"/>
      <c r="R55" s="49"/>
      <c r="S55" s="49"/>
      <c r="T55" s="49"/>
    </row>
    <row r="56" spans="1:20" x14ac:dyDescent="0.4">
      <c r="A56" s="13"/>
      <c r="B56" s="13"/>
      <c r="C56" s="13"/>
      <c r="E56" s="13"/>
      <c r="F56" s="13"/>
      <c r="G56" s="13"/>
      <c r="K56" s="49"/>
      <c r="L56" s="49"/>
      <c r="M56" s="49"/>
      <c r="N56" s="49"/>
      <c r="O56" s="49"/>
      <c r="P56" s="49"/>
      <c r="Q56" s="49"/>
      <c r="R56" s="49"/>
      <c r="S56" s="49"/>
      <c r="T56" s="49"/>
    </row>
    <row r="57" spans="1:20" x14ac:dyDescent="0.4">
      <c r="A57" s="13"/>
      <c r="B57" s="13"/>
      <c r="C57" s="13"/>
      <c r="E57" s="13"/>
      <c r="F57" s="13"/>
      <c r="G57" s="13"/>
      <c r="K57" s="49"/>
      <c r="L57" s="49"/>
      <c r="M57" s="49"/>
      <c r="N57" s="49"/>
      <c r="O57" s="49"/>
      <c r="P57" s="49"/>
      <c r="Q57" s="49"/>
      <c r="R57" s="49"/>
      <c r="S57" s="49"/>
      <c r="T57" s="49"/>
    </row>
    <row r="58" spans="1:20" x14ac:dyDescent="0.4">
      <c r="A58" s="13"/>
      <c r="B58" s="13"/>
      <c r="C58" s="13"/>
      <c r="E58" s="13"/>
      <c r="F58" s="13"/>
      <c r="G58" s="13"/>
      <c r="K58" s="49"/>
      <c r="L58" s="49"/>
      <c r="M58" s="49"/>
      <c r="N58" s="49"/>
      <c r="O58" s="49"/>
      <c r="P58" s="49"/>
      <c r="Q58" s="49"/>
      <c r="R58" s="49"/>
      <c r="S58" s="49"/>
      <c r="T58" s="49"/>
    </row>
    <row r="59" spans="1:20" x14ac:dyDescent="0.4">
      <c r="A59" s="13"/>
      <c r="B59" s="13"/>
      <c r="C59" s="13"/>
      <c r="E59" s="13"/>
      <c r="F59" s="13"/>
      <c r="G59" s="13"/>
      <c r="K59" s="49"/>
      <c r="L59" s="49"/>
      <c r="M59" s="49"/>
      <c r="N59" s="49"/>
      <c r="O59" s="49"/>
      <c r="P59" s="49"/>
      <c r="Q59" s="49"/>
      <c r="R59" s="49"/>
      <c r="S59" s="49"/>
      <c r="T59" s="49"/>
    </row>
    <row r="60" spans="1:20" x14ac:dyDescent="0.4">
      <c r="A60" s="13"/>
      <c r="B60" s="13"/>
      <c r="C60" s="13"/>
      <c r="E60" s="13"/>
      <c r="F60" s="13"/>
      <c r="G60" s="13"/>
      <c r="K60" s="49"/>
      <c r="L60" s="49"/>
      <c r="M60" s="49"/>
      <c r="N60" s="49"/>
      <c r="O60" s="49"/>
      <c r="P60" s="49"/>
      <c r="Q60" s="49"/>
      <c r="R60" s="49"/>
      <c r="S60" s="49"/>
      <c r="T60" s="49"/>
    </row>
    <row r="61" spans="1:20" x14ac:dyDescent="0.4">
      <c r="A61" s="13"/>
      <c r="B61" s="13"/>
      <c r="C61" s="13"/>
      <c r="E61" s="13"/>
      <c r="F61" s="13"/>
      <c r="G61" s="13"/>
      <c r="K61" s="49"/>
      <c r="L61" s="49"/>
      <c r="M61" s="49"/>
      <c r="N61" s="49"/>
      <c r="O61" s="49"/>
      <c r="P61" s="49"/>
      <c r="Q61" s="49"/>
      <c r="R61" s="49"/>
      <c r="S61" s="49"/>
      <c r="T61" s="49"/>
    </row>
    <row r="62" spans="1:20" x14ac:dyDescent="0.4">
      <c r="A62" s="13"/>
      <c r="B62" s="13"/>
      <c r="C62" s="13"/>
      <c r="E62" s="13"/>
      <c r="F62" s="13"/>
      <c r="G62" s="13"/>
      <c r="K62" s="49"/>
      <c r="L62" s="49"/>
      <c r="M62" s="49"/>
      <c r="N62" s="49"/>
      <c r="O62" s="49"/>
      <c r="P62" s="49"/>
      <c r="Q62" s="49"/>
      <c r="R62" s="49"/>
      <c r="S62" s="49"/>
      <c r="T62" s="49"/>
    </row>
    <row r="63" spans="1:20" x14ac:dyDescent="0.4">
      <c r="A63" s="13"/>
      <c r="B63" s="13"/>
      <c r="C63" s="13"/>
      <c r="E63" s="13"/>
      <c r="F63" s="13"/>
      <c r="G63" s="13"/>
      <c r="K63" s="49"/>
      <c r="L63" s="49"/>
      <c r="M63" s="49"/>
      <c r="N63" s="49"/>
      <c r="O63" s="49"/>
      <c r="P63" s="49"/>
      <c r="Q63" s="49"/>
      <c r="R63" s="49"/>
      <c r="S63" s="49"/>
      <c r="T63" s="49"/>
    </row>
    <row r="64" spans="1:20" x14ac:dyDescent="0.4">
      <c r="A64" s="13"/>
      <c r="B64" s="13"/>
      <c r="C64" s="13"/>
      <c r="E64" s="13"/>
      <c r="F64" s="13"/>
      <c r="G64" s="13"/>
      <c r="K64" s="49"/>
      <c r="L64" s="49"/>
      <c r="M64" s="49"/>
      <c r="N64" s="49"/>
      <c r="O64" s="49"/>
      <c r="P64" s="49"/>
      <c r="Q64" s="49"/>
      <c r="R64" s="49"/>
      <c r="S64" s="49"/>
      <c r="T64" s="49"/>
    </row>
    <row r="65" spans="1:20" x14ac:dyDescent="0.4">
      <c r="A65" s="13"/>
      <c r="B65" s="13"/>
      <c r="C65" s="13"/>
      <c r="E65" s="13"/>
      <c r="F65" s="13"/>
      <c r="G65" s="13"/>
      <c r="K65" s="49"/>
      <c r="L65" s="49"/>
      <c r="M65" s="49"/>
      <c r="N65" s="49"/>
      <c r="O65" s="49"/>
      <c r="P65" s="49"/>
      <c r="Q65" s="49"/>
      <c r="R65" s="49"/>
      <c r="S65" s="49"/>
      <c r="T65" s="49"/>
    </row>
    <row r="66" spans="1:20" x14ac:dyDescent="0.4">
      <c r="A66" s="13"/>
      <c r="B66" s="13"/>
      <c r="C66" s="13"/>
      <c r="E66" s="13"/>
      <c r="F66" s="13"/>
      <c r="G66" s="13"/>
      <c r="K66" s="49"/>
      <c r="L66" s="49"/>
      <c r="M66" s="49"/>
      <c r="N66" s="49"/>
      <c r="O66" s="49"/>
      <c r="P66" s="49"/>
      <c r="Q66" s="49"/>
      <c r="R66" s="49"/>
      <c r="S66" s="49"/>
      <c r="T66" s="49"/>
    </row>
    <row r="67" spans="1:20" x14ac:dyDescent="0.4">
      <c r="A67" s="13"/>
      <c r="B67" s="13"/>
      <c r="C67" s="13"/>
      <c r="E67" s="13"/>
      <c r="F67" s="13"/>
      <c r="G67" s="13"/>
      <c r="K67" s="49"/>
      <c r="L67" s="49"/>
      <c r="M67" s="49"/>
      <c r="N67" s="49"/>
      <c r="O67" s="49"/>
      <c r="P67" s="49"/>
      <c r="Q67" s="49"/>
      <c r="R67" s="49"/>
      <c r="S67" s="49"/>
      <c r="T67" s="49"/>
    </row>
    <row r="68" spans="1:20" x14ac:dyDescent="0.4">
      <c r="A68" s="13"/>
      <c r="B68" s="13"/>
      <c r="C68" s="13"/>
      <c r="E68" s="13"/>
      <c r="F68" s="13"/>
      <c r="G68" s="13"/>
      <c r="K68" s="49"/>
      <c r="L68" s="49"/>
      <c r="M68" s="49"/>
      <c r="N68" s="49"/>
      <c r="O68" s="49"/>
      <c r="P68" s="49"/>
      <c r="Q68" s="49"/>
      <c r="R68" s="49"/>
      <c r="S68" s="49"/>
      <c r="T68" s="49"/>
    </row>
    <row r="69" spans="1:20" x14ac:dyDescent="0.4">
      <c r="A69" s="13"/>
      <c r="B69" s="13"/>
      <c r="C69" s="13"/>
      <c r="E69" s="13"/>
      <c r="F69" s="13"/>
      <c r="G69" s="13"/>
      <c r="K69" s="49"/>
      <c r="L69" s="49"/>
      <c r="M69" s="49"/>
      <c r="N69" s="49"/>
      <c r="O69" s="49"/>
      <c r="P69" s="49"/>
      <c r="Q69" s="49"/>
      <c r="R69" s="49"/>
      <c r="S69" s="49"/>
      <c r="T69" s="49"/>
    </row>
    <row r="70" spans="1:20" x14ac:dyDescent="0.4">
      <c r="A70" s="13"/>
      <c r="B70" s="13"/>
      <c r="C70" s="13"/>
      <c r="E70" s="13"/>
      <c r="F70" s="13"/>
      <c r="G70" s="13"/>
      <c r="K70" s="49"/>
      <c r="L70" s="49"/>
      <c r="M70" s="49"/>
      <c r="N70" s="49"/>
      <c r="O70" s="49"/>
      <c r="P70" s="49"/>
      <c r="Q70" s="49"/>
      <c r="R70" s="49"/>
      <c r="S70" s="49"/>
      <c r="T70" s="49"/>
    </row>
    <row r="71" spans="1:20" x14ac:dyDescent="0.4">
      <c r="A71" s="13"/>
      <c r="B71" s="13"/>
      <c r="C71" s="13"/>
      <c r="E71" s="13"/>
      <c r="F71" s="13"/>
      <c r="G71" s="13"/>
      <c r="K71" s="49"/>
      <c r="L71" s="49"/>
      <c r="M71" s="49"/>
      <c r="N71" s="49"/>
      <c r="O71" s="49"/>
      <c r="P71" s="49"/>
      <c r="Q71" s="49"/>
      <c r="R71" s="49"/>
      <c r="S71" s="49"/>
      <c r="T71" s="49"/>
    </row>
    <row r="72" spans="1:20" x14ac:dyDescent="0.4">
      <c r="A72" s="13"/>
      <c r="B72" s="13"/>
      <c r="C72" s="13"/>
      <c r="E72" s="13"/>
      <c r="F72" s="13"/>
      <c r="G72" s="13"/>
      <c r="K72" s="49"/>
      <c r="L72" s="49"/>
      <c r="M72" s="49"/>
      <c r="N72" s="49"/>
      <c r="O72" s="49"/>
      <c r="P72" s="49"/>
      <c r="Q72" s="49"/>
      <c r="R72" s="49"/>
      <c r="S72" s="49"/>
      <c r="T72" s="49"/>
    </row>
    <row r="73" spans="1:20" x14ac:dyDescent="0.4">
      <c r="A73" s="13"/>
      <c r="B73" s="13"/>
      <c r="C73" s="13"/>
      <c r="E73" s="13"/>
      <c r="F73" s="13"/>
      <c r="G73" s="13"/>
      <c r="K73" s="49"/>
      <c r="L73" s="49"/>
      <c r="M73" s="49"/>
      <c r="N73" s="49"/>
      <c r="O73" s="49"/>
      <c r="P73" s="49"/>
      <c r="Q73" s="49"/>
      <c r="R73" s="49"/>
      <c r="S73" s="49"/>
      <c r="T73" s="49"/>
    </row>
    <row r="74" spans="1:20" x14ac:dyDescent="0.4">
      <c r="A74" s="13"/>
      <c r="B74" s="13"/>
      <c r="C74" s="13"/>
      <c r="E74" s="13"/>
      <c r="F74" s="13"/>
      <c r="G74" s="13"/>
      <c r="K74" s="49"/>
      <c r="L74" s="49"/>
      <c r="M74" s="49"/>
      <c r="N74" s="49"/>
      <c r="O74" s="49"/>
      <c r="P74" s="49"/>
      <c r="Q74" s="49"/>
      <c r="R74" s="49"/>
      <c r="S74" s="49"/>
      <c r="T74" s="49"/>
    </row>
    <row r="75" spans="1:20" x14ac:dyDescent="0.4">
      <c r="A75" s="13"/>
      <c r="B75" s="13"/>
      <c r="C75" s="13"/>
      <c r="E75" s="13"/>
      <c r="F75" s="13"/>
      <c r="G75" s="13"/>
      <c r="K75" s="49"/>
      <c r="L75" s="49"/>
      <c r="M75" s="49"/>
      <c r="N75" s="49"/>
      <c r="O75" s="49"/>
      <c r="P75" s="49"/>
      <c r="Q75" s="49"/>
      <c r="R75" s="49"/>
      <c r="S75" s="49"/>
      <c r="T75" s="49"/>
    </row>
    <row r="76" spans="1:20" x14ac:dyDescent="0.4">
      <c r="A76" s="13"/>
      <c r="B76" s="13"/>
      <c r="C76" s="13"/>
      <c r="E76" s="13"/>
      <c r="F76" s="13"/>
      <c r="G76" s="13"/>
      <c r="K76" s="49"/>
      <c r="L76" s="49"/>
      <c r="M76" s="49"/>
      <c r="N76" s="49"/>
      <c r="O76" s="49"/>
      <c r="P76" s="49"/>
      <c r="Q76" s="49"/>
      <c r="R76" s="49"/>
      <c r="S76" s="49"/>
      <c r="T76" s="49"/>
    </row>
    <row r="77" spans="1:20" x14ac:dyDescent="0.4">
      <c r="A77" s="13"/>
      <c r="B77" s="13"/>
      <c r="C77" s="13"/>
      <c r="E77" s="13"/>
      <c r="F77" s="13"/>
      <c r="G77" s="13"/>
      <c r="K77" s="49"/>
      <c r="L77" s="49"/>
      <c r="M77" s="49"/>
      <c r="N77" s="49"/>
      <c r="O77" s="49"/>
      <c r="P77" s="49"/>
      <c r="Q77" s="49"/>
      <c r="R77" s="49"/>
      <c r="S77" s="49"/>
      <c r="T77" s="49"/>
    </row>
    <row r="78" spans="1:20" x14ac:dyDescent="0.4">
      <c r="A78" s="13"/>
      <c r="B78" s="13"/>
      <c r="C78" s="13"/>
      <c r="E78" s="13"/>
      <c r="F78" s="13"/>
      <c r="G78" s="13"/>
      <c r="K78" s="49"/>
      <c r="L78" s="49"/>
      <c r="M78" s="49"/>
      <c r="N78" s="49"/>
      <c r="O78" s="49"/>
      <c r="P78" s="49"/>
      <c r="Q78" s="49"/>
      <c r="R78" s="49"/>
      <c r="S78" s="49"/>
      <c r="T78" s="49"/>
    </row>
    <row r="79" spans="1:20" x14ac:dyDescent="0.4">
      <c r="A79" s="13"/>
      <c r="B79" s="13"/>
      <c r="C79" s="13"/>
      <c r="E79" s="13"/>
      <c r="F79" s="13"/>
      <c r="G79" s="13"/>
      <c r="K79" s="49"/>
      <c r="L79" s="49"/>
      <c r="M79" s="49"/>
      <c r="N79" s="49"/>
      <c r="O79" s="49"/>
      <c r="P79" s="49"/>
      <c r="Q79" s="49"/>
      <c r="R79" s="49"/>
      <c r="S79" s="49"/>
      <c r="T79" s="49"/>
    </row>
    <row r="80" spans="1:20" x14ac:dyDescent="0.4">
      <c r="A80" s="13"/>
      <c r="B80" s="13"/>
      <c r="C80" s="13"/>
      <c r="E80" s="13"/>
      <c r="F80" s="13"/>
      <c r="G80" s="13"/>
      <c r="K80" s="49"/>
      <c r="L80" s="49"/>
      <c r="M80" s="49"/>
      <c r="N80" s="49"/>
      <c r="O80" s="49"/>
      <c r="P80" s="49"/>
      <c r="Q80" s="49"/>
      <c r="R80" s="49"/>
      <c r="S80" s="49"/>
      <c r="T80" s="49"/>
    </row>
    <row r="81" spans="1:20" x14ac:dyDescent="0.4">
      <c r="A81" s="13"/>
      <c r="B81" s="13"/>
      <c r="C81" s="13"/>
      <c r="E81" s="13"/>
      <c r="F81" s="13"/>
      <c r="G81" s="13"/>
      <c r="K81" s="49"/>
      <c r="L81" s="49"/>
      <c r="M81" s="49"/>
      <c r="N81" s="49"/>
      <c r="O81" s="49"/>
      <c r="P81" s="49"/>
      <c r="Q81" s="49"/>
      <c r="R81" s="49"/>
      <c r="S81" s="49"/>
      <c r="T81" s="49"/>
    </row>
    <row r="82" spans="1:20" x14ac:dyDescent="0.4">
      <c r="A82" s="13"/>
      <c r="B82" s="13"/>
      <c r="C82" s="13"/>
      <c r="E82" s="13"/>
      <c r="F82" s="13"/>
      <c r="G82" s="13"/>
      <c r="K82" s="49"/>
      <c r="L82" s="49"/>
      <c r="M82" s="49"/>
      <c r="N82" s="49"/>
      <c r="O82" s="49"/>
      <c r="P82" s="49"/>
      <c r="Q82" s="49"/>
      <c r="R82" s="49"/>
      <c r="S82" s="49"/>
      <c r="T82" s="49"/>
    </row>
    <row r="83" spans="1:20" x14ac:dyDescent="0.4">
      <c r="A83" s="13"/>
      <c r="B83" s="13"/>
      <c r="C83" s="13"/>
      <c r="E83" s="13"/>
      <c r="F83" s="13"/>
      <c r="G83" s="13"/>
      <c r="K83" s="49"/>
      <c r="L83" s="49"/>
      <c r="M83" s="49"/>
      <c r="N83" s="49"/>
      <c r="O83" s="49"/>
      <c r="P83" s="49"/>
      <c r="Q83" s="49"/>
      <c r="R83" s="49"/>
      <c r="S83" s="49"/>
      <c r="T83" s="49"/>
    </row>
    <row r="84" spans="1:20" x14ac:dyDescent="0.4">
      <c r="A84" s="13"/>
      <c r="B84" s="13"/>
      <c r="C84" s="13"/>
      <c r="E84" s="13"/>
      <c r="F84" s="13"/>
      <c r="G84" s="13"/>
      <c r="K84" s="49"/>
      <c r="L84" s="49"/>
      <c r="M84" s="49"/>
      <c r="N84" s="49"/>
      <c r="O84" s="49"/>
      <c r="P84" s="49"/>
      <c r="Q84" s="49"/>
      <c r="R84" s="49"/>
      <c r="S84" s="49"/>
      <c r="T84" s="49"/>
    </row>
    <row r="85" spans="1:20" x14ac:dyDescent="0.4">
      <c r="A85" s="13"/>
      <c r="B85" s="13"/>
      <c r="C85" s="13"/>
      <c r="E85" s="13"/>
      <c r="F85" s="13"/>
      <c r="G85" s="13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1:20" x14ac:dyDescent="0.4">
      <c r="A86" s="13"/>
      <c r="B86" s="13"/>
      <c r="C86" s="13"/>
      <c r="E86" s="13"/>
      <c r="F86" s="13"/>
      <c r="G86" s="13"/>
      <c r="K86" s="49"/>
      <c r="L86" s="49"/>
      <c r="M86" s="49"/>
      <c r="N86" s="49"/>
      <c r="O86" s="49"/>
      <c r="P86" s="49"/>
      <c r="Q86" s="49"/>
      <c r="R86" s="49"/>
      <c r="S86" s="49"/>
      <c r="T86" s="49"/>
    </row>
    <row r="87" spans="1:20" x14ac:dyDescent="0.4">
      <c r="A87" s="13"/>
      <c r="B87" s="13"/>
      <c r="C87" s="13"/>
      <c r="E87" s="13"/>
      <c r="F87" s="13"/>
      <c r="G87" s="13"/>
      <c r="K87" s="49"/>
      <c r="L87" s="49"/>
      <c r="M87" s="49"/>
      <c r="N87" s="49"/>
      <c r="O87" s="49"/>
      <c r="P87" s="49"/>
      <c r="Q87" s="49"/>
      <c r="R87" s="49"/>
      <c r="S87" s="49"/>
      <c r="T87" s="49"/>
    </row>
    <row r="88" spans="1:20" x14ac:dyDescent="0.4">
      <c r="A88" s="13"/>
      <c r="B88" s="13"/>
      <c r="C88" s="13"/>
      <c r="E88" s="13"/>
      <c r="F88" s="13"/>
      <c r="G88" s="13"/>
      <c r="K88" s="49"/>
      <c r="L88" s="49"/>
      <c r="M88" s="49"/>
      <c r="N88" s="49"/>
      <c r="O88" s="49"/>
      <c r="P88" s="49"/>
      <c r="Q88" s="49"/>
      <c r="R88" s="49"/>
      <c r="S88" s="49"/>
      <c r="T88" s="49"/>
    </row>
    <row r="89" spans="1:20" x14ac:dyDescent="0.4">
      <c r="A89" s="13"/>
      <c r="B89" s="13"/>
      <c r="C89" s="13"/>
      <c r="E89" s="13"/>
      <c r="F89" s="13"/>
      <c r="G89" s="13"/>
      <c r="K89" s="49"/>
      <c r="L89" s="49"/>
      <c r="M89" s="49"/>
      <c r="N89" s="49"/>
      <c r="O89" s="49"/>
      <c r="P89" s="49"/>
      <c r="Q89" s="49"/>
      <c r="R89" s="49"/>
      <c r="S89" s="49"/>
      <c r="T89" s="49"/>
    </row>
    <row r="90" spans="1:20" x14ac:dyDescent="0.4">
      <c r="A90" s="13"/>
      <c r="B90" s="13"/>
      <c r="C90" s="13"/>
      <c r="E90" s="13"/>
      <c r="F90" s="13"/>
      <c r="G90" s="13"/>
      <c r="K90" s="49"/>
      <c r="L90" s="49"/>
      <c r="M90" s="49"/>
      <c r="N90" s="49"/>
      <c r="O90" s="49"/>
      <c r="P90" s="49"/>
      <c r="Q90" s="49"/>
      <c r="R90" s="49"/>
      <c r="S90" s="49"/>
      <c r="T90" s="49"/>
    </row>
    <row r="91" spans="1:20" x14ac:dyDescent="0.4">
      <c r="A91" s="13"/>
      <c r="B91" s="13"/>
      <c r="C91" s="13"/>
      <c r="E91" s="13"/>
      <c r="F91" s="13"/>
      <c r="G91" s="13"/>
      <c r="K91" s="49"/>
      <c r="L91" s="49"/>
      <c r="M91" s="49"/>
      <c r="N91" s="49"/>
      <c r="O91" s="49"/>
      <c r="P91" s="49"/>
      <c r="Q91" s="49"/>
      <c r="R91" s="49"/>
      <c r="S91" s="49"/>
      <c r="T91" s="49"/>
    </row>
    <row r="92" spans="1:20" x14ac:dyDescent="0.4">
      <c r="A92" s="13"/>
      <c r="B92" s="13"/>
      <c r="C92" s="13"/>
      <c r="E92" s="13"/>
      <c r="F92" s="13"/>
      <c r="G92" s="13"/>
      <c r="K92" s="49"/>
      <c r="L92" s="49"/>
      <c r="M92" s="49"/>
      <c r="N92" s="49"/>
      <c r="O92" s="49"/>
      <c r="P92" s="49"/>
      <c r="Q92" s="49"/>
      <c r="R92" s="49"/>
      <c r="S92" s="49"/>
      <c r="T92" s="49"/>
    </row>
    <row r="93" spans="1:20" x14ac:dyDescent="0.4">
      <c r="A93" s="13"/>
      <c r="B93" s="13"/>
      <c r="C93" s="13"/>
      <c r="E93" s="13"/>
      <c r="F93" s="13"/>
      <c r="G93" s="13"/>
      <c r="K93" s="49"/>
      <c r="L93" s="49"/>
      <c r="M93" s="49"/>
      <c r="N93" s="49"/>
      <c r="O93" s="49"/>
      <c r="P93" s="49"/>
      <c r="Q93" s="49"/>
      <c r="R93" s="49"/>
      <c r="S93" s="49"/>
      <c r="T93" s="49"/>
    </row>
    <row r="94" spans="1:20" x14ac:dyDescent="0.4">
      <c r="A94" s="13"/>
      <c r="B94" s="13"/>
      <c r="C94" s="13"/>
      <c r="E94" s="13"/>
      <c r="F94" s="13"/>
      <c r="G94" s="13"/>
      <c r="K94" s="49"/>
      <c r="L94" s="49"/>
      <c r="M94" s="49"/>
      <c r="N94" s="49"/>
      <c r="O94" s="49"/>
      <c r="P94" s="49"/>
      <c r="Q94" s="49"/>
      <c r="R94" s="49"/>
      <c r="S94" s="49"/>
      <c r="T94" s="49"/>
    </row>
    <row r="95" spans="1:20" x14ac:dyDescent="0.4">
      <c r="K95" s="49"/>
      <c r="L95" s="49"/>
      <c r="M95" s="49"/>
      <c r="N95" s="49"/>
      <c r="O95" s="49"/>
      <c r="P95" s="49"/>
      <c r="Q95" s="49"/>
      <c r="R95" s="49"/>
      <c r="S95" s="49"/>
      <c r="T95" s="49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133</v>
      </c>
      <c r="B1" s="29">
        <v>45394</v>
      </c>
      <c r="D1" s="50" t="s">
        <v>143</v>
      </c>
      <c r="E1" s="49"/>
      <c r="F1" s="49"/>
      <c r="G1" s="49"/>
      <c r="H1" s="49"/>
      <c r="I1" s="49"/>
      <c r="J1" s="49"/>
      <c r="K1" s="49"/>
    </row>
    <row r="2" spans="1:22" x14ac:dyDescent="0.4">
      <c r="D2" s="49"/>
      <c r="E2" s="49"/>
      <c r="F2" s="49"/>
      <c r="G2" s="49"/>
      <c r="H2" s="49"/>
      <c r="I2" s="49"/>
      <c r="J2" s="49"/>
      <c r="K2" s="49"/>
    </row>
    <row r="3" spans="1:22" x14ac:dyDescent="0.4">
      <c r="A3" s="6" t="s">
        <v>139</v>
      </c>
      <c r="B3" s="15"/>
      <c r="O3" t="s">
        <v>134</v>
      </c>
    </row>
    <row r="4" spans="1:22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145</v>
      </c>
      <c r="P4" s="48"/>
      <c r="Q4" s="48"/>
      <c r="R4" s="48"/>
      <c r="S4" s="48"/>
      <c r="T4" s="48"/>
      <c r="U4" s="48"/>
      <c r="V4" s="48"/>
    </row>
    <row r="5" spans="1:22" x14ac:dyDescent="0.4">
      <c r="A5" s="8" t="s">
        <v>142</v>
      </c>
      <c r="B5" s="8" t="str">
        <f>"F_FX"&amp;B7&amp;B6</f>
        <v>F_FXKRWUSD</v>
      </c>
      <c r="D5" s="8" t="s">
        <v>142</v>
      </c>
      <c r="E5" s="8" t="str">
        <f>"F_FX"&amp;E7&amp;E6</f>
        <v>F_FXKRWEUR</v>
      </c>
      <c r="G5" s="8" t="s">
        <v>142</v>
      </c>
      <c r="H5" s="8" t="str">
        <f>"F_FX"&amp;H7&amp;H6</f>
        <v>F_FXKRWUSD</v>
      </c>
      <c r="J5" s="8" t="s">
        <v>142</v>
      </c>
      <c r="K5" s="8" t="str">
        <f>"F_FX"&amp;K7&amp;K6</f>
        <v>F_FXKRWUSD</v>
      </c>
      <c r="O5" s="48"/>
      <c r="P5" s="48"/>
      <c r="Q5" s="48"/>
      <c r="R5" s="48"/>
      <c r="S5" s="48"/>
      <c r="T5" s="48"/>
      <c r="U5" s="48"/>
      <c r="V5" s="48"/>
    </row>
    <row r="6" spans="1:22" x14ac:dyDescent="0.4">
      <c r="A6" s="8" t="s">
        <v>140</v>
      </c>
      <c r="B6" s="8" t="s">
        <v>39</v>
      </c>
      <c r="D6" s="8" t="s">
        <v>140</v>
      </c>
      <c r="E6" s="8" t="s">
        <v>156</v>
      </c>
      <c r="G6" s="8" t="s">
        <v>140</v>
      </c>
      <c r="H6" s="8" t="s">
        <v>39</v>
      </c>
      <c r="J6" s="8" t="s">
        <v>140</v>
      </c>
      <c r="K6" s="8" t="s">
        <v>39</v>
      </c>
      <c r="O6" s="48"/>
      <c r="P6" s="48"/>
      <c r="Q6" s="48"/>
      <c r="R6" s="48"/>
      <c r="S6" s="48"/>
      <c r="T6" s="48"/>
      <c r="U6" s="48"/>
      <c r="V6" s="48"/>
    </row>
    <row r="7" spans="1:22" x14ac:dyDescent="0.4">
      <c r="A7" s="8" t="s">
        <v>141</v>
      </c>
      <c r="B7" s="8" t="s">
        <v>78</v>
      </c>
      <c r="D7" s="8" t="s">
        <v>141</v>
      </c>
      <c r="E7" s="8" t="s">
        <v>78</v>
      </c>
      <c r="G7" s="8" t="s">
        <v>141</v>
      </c>
      <c r="H7" s="8" t="s">
        <v>78</v>
      </c>
      <c r="J7" s="8" t="s">
        <v>141</v>
      </c>
      <c r="K7" s="8" t="s">
        <v>78</v>
      </c>
      <c r="O7" s="48"/>
      <c r="P7" s="48"/>
      <c r="Q7" s="48"/>
      <c r="R7" s="48"/>
      <c r="S7" s="48"/>
      <c r="T7" s="48"/>
      <c r="U7" s="48"/>
      <c r="V7" s="48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8"/>
      <c r="P8" s="48"/>
      <c r="Q8" s="48"/>
      <c r="R8" s="48"/>
      <c r="S8" s="48"/>
      <c r="T8" s="48"/>
      <c r="U8" s="48"/>
      <c r="V8" s="48"/>
    </row>
    <row r="9" spans="1:22" x14ac:dyDescent="0.4">
      <c r="A9" s="21">
        <f>ROUND(1/360,5)</f>
        <v>2.7799999999999999E-3</v>
      </c>
      <c r="B9" s="22">
        <v>1375.35</v>
      </c>
      <c r="D9" s="21">
        <f>ROUND(1/360,5)</f>
        <v>2.7799999999999999E-3</v>
      </c>
      <c r="E9" s="22">
        <v>1468.32</v>
      </c>
      <c r="G9" s="21"/>
      <c r="H9" s="22"/>
      <c r="J9" s="21"/>
      <c r="K9" s="22"/>
      <c r="O9" s="48"/>
      <c r="P9" s="48"/>
      <c r="Q9" s="48"/>
      <c r="R9" s="48"/>
      <c r="S9" s="48"/>
      <c r="T9" s="48"/>
      <c r="U9" s="48"/>
      <c r="V9" s="48"/>
    </row>
    <row r="10" spans="1:22" x14ac:dyDescent="0.4">
      <c r="A10" s="23">
        <f>ROUND(7/360, 5)</f>
        <v>1.9439999999999999E-2</v>
      </c>
      <c r="B10" s="24">
        <v>1374.86</v>
      </c>
      <c r="D10" s="23">
        <f>ROUND(7/360, 5)</f>
        <v>1.9439999999999999E-2</v>
      </c>
      <c r="E10" s="24">
        <v>1468.2</v>
      </c>
      <c r="G10" s="23"/>
      <c r="H10" s="24"/>
      <c r="J10" s="23"/>
      <c r="K10" s="24"/>
      <c r="O10" s="48"/>
      <c r="P10" s="48"/>
      <c r="Q10" s="48"/>
      <c r="R10" s="48"/>
      <c r="S10" s="48"/>
      <c r="T10" s="48"/>
      <c r="U10" s="48"/>
      <c r="V10" s="48"/>
    </row>
    <row r="11" spans="1:22" x14ac:dyDescent="0.4">
      <c r="A11" s="23">
        <f>ROUND(30/360, 5)</f>
        <v>8.3330000000000001E-2</v>
      </c>
      <c r="B11" s="24">
        <v>1373.25</v>
      </c>
      <c r="D11" s="23">
        <f>ROUND(30/360, 5)</f>
        <v>8.3330000000000001E-2</v>
      </c>
      <c r="E11" s="24">
        <v>1467.84</v>
      </c>
      <c r="G11" s="23"/>
      <c r="H11" s="24"/>
      <c r="J11" s="23"/>
      <c r="K11" s="24"/>
      <c r="O11" s="48"/>
      <c r="P11" s="48"/>
      <c r="Q11" s="48"/>
      <c r="R11" s="48"/>
      <c r="S11" s="48"/>
      <c r="T11" s="48"/>
      <c r="U11" s="48"/>
      <c r="V11" s="48"/>
    </row>
    <row r="12" spans="1:22" x14ac:dyDescent="0.4">
      <c r="A12" s="23">
        <v>0.25</v>
      </c>
      <c r="B12" s="24">
        <v>1368.74</v>
      </c>
      <c r="D12" s="23">
        <v>0.25</v>
      </c>
      <c r="E12" s="24">
        <v>1466.86</v>
      </c>
      <c r="G12" s="23"/>
      <c r="H12" s="24"/>
      <c r="J12" s="23"/>
      <c r="K12" s="24"/>
      <c r="O12" s="48"/>
      <c r="P12" s="48"/>
      <c r="Q12" s="48"/>
      <c r="R12" s="48"/>
      <c r="S12" s="48"/>
      <c r="T12" s="48"/>
      <c r="U12" s="48"/>
      <c r="V12" s="48"/>
    </row>
    <row r="13" spans="1:22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</row>
    <row r="14" spans="1:22" x14ac:dyDescent="0.4">
      <c r="A14" s="23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</row>
    <row r="15" spans="1:22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</row>
    <row r="16" spans="1:22" x14ac:dyDescent="0.4">
      <c r="A16" s="23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48"/>
      <c r="P17" s="48"/>
      <c r="Q17" s="48"/>
      <c r="R17" s="48"/>
      <c r="S17" s="48"/>
      <c r="T17" s="48"/>
      <c r="U17" s="48"/>
      <c r="V17" s="48"/>
    </row>
    <row r="18" spans="1:22" x14ac:dyDescent="0.4">
      <c r="A18" s="23"/>
      <c r="B18" s="24"/>
      <c r="D18" s="23"/>
      <c r="E18" s="24"/>
      <c r="G18" s="23"/>
      <c r="H18" s="24"/>
      <c r="J18" s="23"/>
      <c r="K18" s="24"/>
      <c r="O18" s="48"/>
      <c r="P18" s="48"/>
      <c r="Q18" s="48"/>
      <c r="R18" s="48"/>
      <c r="S18" s="48"/>
      <c r="T18" s="48"/>
      <c r="U18" s="48"/>
      <c r="V18" s="48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48"/>
      <c r="P19" s="48"/>
      <c r="Q19" s="48"/>
      <c r="R19" s="48"/>
      <c r="S19" s="48"/>
      <c r="T19" s="48"/>
      <c r="U19" s="48"/>
      <c r="V19" s="48"/>
    </row>
    <row r="20" spans="1:22" x14ac:dyDescent="0.4">
      <c r="A20" s="23"/>
      <c r="B20" s="24"/>
      <c r="D20" s="23"/>
      <c r="E20" s="24"/>
      <c r="G20" s="23"/>
      <c r="H20" s="24"/>
      <c r="J20" s="23"/>
      <c r="K20" s="24"/>
      <c r="O20" s="48"/>
      <c r="P20" s="48"/>
      <c r="Q20" s="48"/>
      <c r="R20" s="48"/>
      <c r="S20" s="48"/>
      <c r="T20" s="48"/>
      <c r="U20" s="48"/>
      <c r="V20" s="48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48"/>
      <c r="P21" s="48"/>
      <c r="Q21" s="48"/>
      <c r="R21" s="48"/>
      <c r="S21" s="48"/>
      <c r="T21" s="48"/>
      <c r="U21" s="48"/>
      <c r="V21" s="48"/>
    </row>
    <row r="22" spans="1:22" x14ac:dyDescent="0.4">
      <c r="A22" s="23"/>
      <c r="B22" s="24"/>
      <c r="D22" s="23"/>
      <c r="E22" s="24"/>
      <c r="G22" s="23"/>
      <c r="H22" s="24"/>
      <c r="J22" s="23"/>
      <c r="K22" s="24"/>
      <c r="O22" s="48"/>
      <c r="P22" s="48"/>
      <c r="Q22" s="48"/>
      <c r="R22" s="48"/>
      <c r="S22" s="48"/>
      <c r="T22" s="48"/>
      <c r="U22" s="48"/>
      <c r="V22" s="48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48"/>
      <c r="P23" s="48"/>
      <c r="Q23" s="48"/>
      <c r="R23" s="48"/>
      <c r="S23" s="48"/>
      <c r="T23" s="48"/>
      <c r="U23" s="48"/>
      <c r="V23" s="48"/>
    </row>
    <row r="24" spans="1:22" x14ac:dyDescent="0.4">
      <c r="A24" s="23"/>
      <c r="B24" s="24"/>
      <c r="D24" s="23"/>
      <c r="E24" s="24"/>
      <c r="G24" s="23"/>
      <c r="H24" s="24"/>
      <c r="J24" s="23"/>
      <c r="K24" s="24"/>
      <c r="O24" s="48"/>
      <c r="P24" s="48"/>
      <c r="Q24" s="48"/>
      <c r="R24" s="48"/>
      <c r="S24" s="48"/>
      <c r="T24" s="48"/>
      <c r="U24" s="48"/>
      <c r="V24" s="48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48"/>
      <c r="P25" s="48"/>
      <c r="Q25" s="48"/>
      <c r="R25" s="48"/>
      <c r="S25" s="48"/>
      <c r="T25" s="48"/>
      <c r="U25" s="48"/>
      <c r="V25" s="48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48"/>
      <c r="P26" s="48"/>
      <c r="Q26" s="48"/>
      <c r="R26" s="48"/>
      <c r="S26" s="48"/>
      <c r="T26" s="48"/>
      <c r="U26" s="48"/>
      <c r="V26" s="48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48"/>
      <c r="P27" s="48"/>
      <c r="Q27" s="48"/>
      <c r="R27" s="48"/>
      <c r="S27" s="48"/>
      <c r="T27" s="48"/>
      <c r="U27" s="48"/>
      <c r="V27" s="48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48"/>
      <c r="P28" s="48"/>
      <c r="Q28" s="48"/>
      <c r="R28" s="48"/>
      <c r="S28" s="48"/>
      <c r="T28" s="48"/>
      <c r="U28" s="48"/>
      <c r="V28" s="48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48"/>
      <c r="P29" s="48"/>
      <c r="Q29" s="48"/>
      <c r="R29" s="48"/>
      <c r="S29" s="48"/>
      <c r="T29" s="48"/>
      <c r="U29" s="48"/>
      <c r="V29" s="48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48"/>
      <c r="P30" s="48"/>
      <c r="Q30" s="48"/>
      <c r="R30" s="48"/>
      <c r="S30" s="48"/>
      <c r="T30" s="48"/>
      <c r="U30" s="48"/>
      <c r="V30" s="48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48"/>
      <c r="P31" s="48"/>
      <c r="Q31" s="48"/>
      <c r="R31" s="48"/>
      <c r="S31" s="48"/>
      <c r="T31" s="48"/>
      <c r="U31" s="48"/>
      <c r="V31" s="48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48"/>
      <c r="P32" s="48"/>
      <c r="Q32" s="48"/>
      <c r="R32" s="48"/>
      <c r="S32" s="48"/>
      <c r="T32" s="48"/>
      <c r="U32" s="48"/>
      <c r="V32" s="48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48"/>
      <c r="P33" s="48"/>
      <c r="Q33" s="48"/>
      <c r="R33" s="48"/>
      <c r="S33" s="48"/>
      <c r="T33" s="48"/>
      <c r="U33" s="48"/>
      <c r="V33" s="48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48"/>
      <c r="P34" s="48"/>
      <c r="Q34" s="48"/>
      <c r="R34" s="48"/>
      <c r="S34" s="48"/>
      <c r="T34" s="48"/>
      <c r="U34" s="48"/>
      <c r="V34" s="48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48"/>
      <c r="P35" s="48"/>
      <c r="Q35" s="48"/>
      <c r="R35" s="48"/>
      <c r="S35" s="48"/>
      <c r="T35" s="48"/>
      <c r="U35" s="48"/>
      <c r="V35" s="48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48"/>
      <c r="P36" s="48"/>
      <c r="Q36" s="48"/>
      <c r="R36" s="48"/>
      <c r="S36" s="48"/>
      <c r="T36" s="48"/>
      <c r="U36" s="48"/>
      <c r="V36" s="48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48"/>
      <c r="P37" s="48"/>
      <c r="Q37" s="48"/>
      <c r="R37" s="48"/>
      <c r="S37" s="48"/>
      <c r="T37" s="48"/>
      <c r="U37" s="48"/>
      <c r="V37" s="48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48"/>
      <c r="P38" s="48"/>
      <c r="Q38" s="48"/>
      <c r="R38" s="48"/>
      <c r="S38" s="48"/>
      <c r="T38" s="48"/>
      <c r="U38" s="48"/>
      <c r="V38" s="48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48"/>
      <c r="P39" s="48"/>
      <c r="Q39" s="48"/>
      <c r="R39" s="48"/>
      <c r="S39" s="48"/>
      <c r="T39" s="48"/>
      <c r="U39" s="48"/>
      <c r="V39" s="48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48"/>
      <c r="P40" s="48"/>
      <c r="Q40" s="48"/>
      <c r="R40" s="48"/>
      <c r="S40" s="48"/>
      <c r="T40" s="48"/>
      <c r="U40" s="48"/>
      <c r="V40" s="48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48"/>
      <c r="P41" s="48"/>
      <c r="Q41" s="48"/>
      <c r="R41" s="48"/>
      <c r="S41" s="48"/>
      <c r="T41" s="48"/>
      <c r="U41" s="48"/>
      <c r="V41" s="48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48"/>
      <c r="P42" s="48"/>
      <c r="Q42" s="48"/>
      <c r="R42" s="48"/>
      <c r="S42" s="48"/>
      <c r="T42" s="48"/>
      <c r="U42" s="48"/>
      <c r="V42" s="48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48"/>
      <c r="P43" s="48"/>
      <c r="Q43" s="48"/>
      <c r="R43" s="48"/>
      <c r="S43" s="48"/>
      <c r="T43" s="48"/>
      <c r="U43" s="48"/>
      <c r="V43" s="48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48"/>
      <c r="P44" s="48"/>
      <c r="Q44" s="48"/>
      <c r="R44" s="48"/>
      <c r="S44" s="48"/>
      <c r="T44" s="48"/>
      <c r="U44" s="48"/>
      <c r="V44" s="48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48"/>
      <c r="P45" s="48"/>
      <c r="Q45" s="48"/>
      <c r="R45" s="48"/>
      <c r="S45" s="48"/>
      <c r="T45" s="48"/>
      <c r="U45" s="48"/>
      <c r="V45" s="48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48"/>
      <c r="P46" s="48"/>
      <c r="Q46" s="48"/>
      <c r="R46" s="48"/>
      <c r="S46" s="48"/>
      <c r="T46" s="48"/>
      <c r="U46" s="48"/>
      <c r="V46" s="48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t="s">
        <v>144</v>
      </c>
    </row>
    <row r="48" spans="1:22" x14ac:dyDescent="0.4">
      <c r="A48" s="23"/>
      <c r="B48" s="24"/>
      <c r="D48" s="23"/>
      <c r="E48" s="24"/>
      <c r="G48" s="23"/>
      <c r="H48" s="24"/>
      <c r="J48" s="23"/>
      <c r="K48" s="24"/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133</v>
      </c>
      <c r="B1" s="29">
        <v>45394</v>
      </c>
      <c r="D1" s="50" t="s">
        <v>151</v>
      </c>
      <c r="E1" s="49"/>
      <c r="F1" s="49"/>
      <c r="G1" s="49"/>
      <c r="H1" s="49"/>
      <c r="I1" s="49"/>
      <c r="J1" s="49"/>
      <c r="K1" s="49"/>
    </row>
    <row r="2" spans="1:26" x14ac:dyDescent="0.4">
      <c r="D2" s="49"/>
      <c r="E2" s="49"/>
      <c r="F2" s="49"/>
      <c r="G2" s="49"/>
      <c r="H2" s="49"/>
      <c r="I2" s="49"/>
      <c r="J2" s="49"/>
      <c r="K2" s="49"/>
    </row>
    <row r="3" spans="1:26" x14ac:dyDescent="0.4">
      <c r="A3" s="6" t="s">
        <v>146</v>
      </c>
      <c r="B3" s="15"/>
    </row>
    <row r="4" spans="1:26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148</v>
      </c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4">
      <c r="A5" s="8" t="s">
        <v>126</v>
      </c>
      <c r="B5" s="8" t="s">
        <v>38</v>
      </c>
      <c r="D5" s="8" t="s">
        <v>126</v>
      </c>
      <c r="E5" s="8" t="s">
        <v>77</v>
      </c>
      <c r="G5" s="8" t="s">
        <v>126</v>
      </c>
      <c r="H5" s="8" t="s">
        <v>41</v>
      </c>
      <c r="J5" s="8" t="s">
        <v>126</v>
      </c>
      <c r="K5" s="8" t="s">
        <v>40</v>
      </c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4">
      <c r="A6" s="8" t="s">
        <v>142</v>
      </c>
      <c r="B6" s="8" t="str">
        <f>B5&amp;"_D_CALB"</f>
        <v>KOSPI200_D_CALB</v>
      </c>
      <c r="D6" s="8" t="s">
        <v>142</v>
      </c>
      <c r="E6" s="8" t="str">
        <f>E5&amp;"_D_CALB"</f>
        <v>SPX_D_CALB</v>
      </c>
      <c r="G6" s="8" t="s">
        <v>142</v>
      </c>
      <c r="H6" s="8" t="str">
        <f>H5&amp;"_D_CALB"</f>
        <v>HSCEI_D_CALB</v>
      </c>
      <c r="J6" s="8" t="s">
        <v>142</v>
      </c>
      <c r="K6" s="8" t="str">
        <f>K5&amp;"_D_CALB"</f>
        <v>NKY_D_CALB</v>
      </c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34.799999999999997" x14ac:dyDescent="0.4">
      <c r="A7" s="8" t="s">
        <v>154</v>
      </c>
      <c r="B7" s="34" t="str">
        <f>B6&amp;"보정 이산 배당흐름"</f>
        <v>KOSPI200_D_CALB보정 이산 배당흐름</v>
      </c>
      <c r="D7" s="8" t="s">
        <v>154</v>
      </c>
      <c r="E7" s="34" t="str">
        <f>E6&amp;"보정 이산 배당흐름"</f>
        <v>SPX_D_CALB보정 이산 배당흐름</v>
      </c>
      <c r="G7" s="8" t="s">
        <v>140</v>
      </c>
      <c r="H7" s="34" t="str">
        <f>H6&amp;"보정 이산 배당흐름"</f>
        <v>HSCEI_D_CALB보정 이산 배당흐름</v>
      </c>
      <c r="J7" s="8" t="s">
        <v>140</v>
      </c>
      <c r="K7" s="34" t="str">
        <f>K6&amp;"보정 이산 배당흐름"</f>
        <v>NKY_D_CALB보정 이산 배당흐름</v>
      </c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4">
      <c r="A8" s="8" t="s">
        <v>147</v>
      </c>
      <c r="B8" s="8" t="s">
        <v>78</v>
      </c>
      <c r="D8" s="8" t="s">
        <v>147</v>
      </c>
      <c r="E8" s="8" t="s">
        <v>39</v>
      </c>
      <c r="G8" s="8" t="s">
        <v>147</v>
      </c>
      <c r="H8" s="8" t="s">
        <v>153</v>
      </c>
      <c r="J8" s="8" t="s">
        <v>147</v>
      </c>
      <c r="K8" s="8" t="s">
        <v>155</v>
      </c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4">
      <c r="A9" s="8" t="s">
        <v>149</v>
      </c>
      <c r="B9" s="8" t="s">
        <v>150</v>
      </c>
      <c r="D9" s="8" t="s">
        <v>149</v>
      </c>
      <c r="E9" s="8" t="s">
        <v>150</v>
      </c>
      <c r="G9" s="8" t="s">
        <v>149</v>
      </c>
      <c r="H9" s="8" t="s">
        <v>150</v>
      </c>
      <c r="J9" s="8" t="s">
        <v>149</v>
      </c>
      <c r="K9" s="8" t="s">
        <v>150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4">
      <c r="A10" s="21">
        <v>20240415</v>
      </c>
      <c r="B10" s="22">
        <v>6.7999999999999996E-3</v>
      </c>
      <c r="D10" s="21">
        <v>20240415</v>
      </c>
      <c r="E10" s="22">
        <v>0.51229999999999998</v>
      </c>
      <c r="G10" s="21">
        <v>20240415</v>
      </c>
      <c r="H10" s="22">
        <v>3.4066999999999998</v>
      </c>
      <c r="J10" s="21">
        <v>20240415</v>
      </c>
      <c r="K10" s="22">
        <v>295.18259999999998</v>
      </c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4">
      <c r="A11" s="23">
        <v>20240422</v>
      </c>
      <c r="B11" s="24">
        <v>7.7299999999999994E-2</v>
      </c>
      <c r="D11" s="23">
        <v>20240422</v>
      </c>
      <c r="E11" s="24">
        <v>9.1499999999999998E-2</v>
      </c>
      <c r="G11" s="23">
        <v>20240422</v>
      </c>
      <c r="H11" s="24">
        <v>0.76100000000000001</v>
      </c>
      <c r="J11" s="23">
        <v>20240422</v>
      </c>
      <c r="K11" s="24">
        <v>48.081400000000002</v>
      </c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4">
      <c r="A12" s="21">
        <v>20240429</v>
      </c>
      <c r="B12" s="24">
        <v>1.4800000000000001E-2</v>
      </c>
      <c r="D12" s="21">
        <v>20240429</v>
      </c>
      <c r="E12" s="24">
        <v>0.19800000000000001</v>
      </c>
      <c r="G12" s="21">
        <v>20240429</v>
      </c>
      <c r="H12" s="24">
        <v>3.5385</v>
      </c>
      <c r="J12" s="21">
        <v>20240429</v>
      </c>
      <c r="K12" s="24">
        <v>2.5794999999999999</v>
      </c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4">
      <c r="A14" s="21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4">
      <c r="A16" s="21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33"/>
      <c r="P17" s="33"/>
      <c r="Q17" s="33"/>
      <c r="R17" s="33"/>
      <c r="S17" s="33"/>
      <c r="T17" s="33"/>
      <c r="U17" s="33"/>
      <c r="V17" s="33"/>
    </row>
    <row r="18" spans="1:22" x14ac:dyDescent="0.4">
      <c r="A18" s="21"/>
      <c r="B18" s="24"/>
      <c r="D18" s="23"/>
      <c r="E18" s="24"/>
      <c r="G18" s="23"/>
      <c r="H18" s="24"/>
      <c r="J18" s="23"/>
      <c r="K18" s="24"/>
      <c r="O18" s="33"/>
      <c r="P18" s="33"/>
      <c r="Q18" s="33"/>
      <c r="R18" s="33"/>
      <c r="S18" s="33"/>
      <c r="T18" s="33"/>
      <c r="U18" s="33"/>
      <c r="V18" s="33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33"/>
      <c r="P19" s="33"/>
      <c r="Q19" s="33"/>
      <c r="R19" s="33"/>
      <c r="S19" s="33"/>
      <c r="T19" s="33"/>
      <c r="U19" s="33"/>
      <c r="V19" s="33"/>
    </row>
    <row r="20" spans="1:22" x14ac:dyDescent="0.4">
      <c r="A20" s="21"/>
      <c r="B20" s="24"/>
      <c r="D20" s="23"/>
      <c r="E20" s="24"/>
      <c r="G20" s="23"/>
      <c r="H20" s="24"/>
      <c r="J20" s="23"/>
      <c r="K20" s="24"/>
      <c r="O20" s="33"/>
      <c r="P20" s="33"/>
      <c r="Q20" s="33"/>
      <c r="R20" s="33"/>
      <c r="S20" s="33"/>
      <c r="T20" s="33"/>
      <c r="U20" s="33"/>
      <c r="V20" s="33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33"/>
      <c r="P21" s="33"/>
      <c r="Q21" s="33"/>
      <c r="R21" s="33"/>
      <c r="S21" s="33"/>
      <c r="T21" s="33"/>
      <c r="U21" s="33"/>
      <c r="V21" s="33"/>
    </row>
    <row r="22" spans="1:22" x14ac:dyDescent="0.4">
      <c r="A22" s="21"/>
      <c r="B22" s="24"/>
      <c r="D22" s="23"/>
      <c r="E22" s="24"/>
      <c r="G22" s="23"/>
      <c r="H22" s="24"/>
      <c r="J22" s="23"/>
      <c r="K22" s="24"/>
      <c r="O22" s="33"/>
      <c r="P22" s="33"/>
      <c r="Q22" s="33"/>
      <c r="R22" s="33"/>
      <c r="S22" s="33"/>
      <c r="T22" s="33"/>
      <c r="U22" s="33"/>
      <c r="V22" s="33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33"/>
      <c r="P23" s="33"/>
      <c r="Q23" s="33"/>
      <c r="R23" s="33"/>
      <c r="S23" s="33"/>
      <c r="T23" s="33"/>
      <c r="U23" s="33"/>
      <c r="V23" s="33"/>
    </row>
    <row r="24" spans="1:22" x14ac:dyDescent="0.4">
      <c r="A24" s="21"/>
      <c r="B24" s="24"/>
      <c r="D24" s="23"/>
      <c r="E24" s="24"/>
      <c r="G24" s="23"/>
      <c r="H24" s="24"/>
      <c r="J24" s="23"/>
      <c r="K24" s="24"/>
      <c r="O24" s="33"/>
      <c r="P24" s="33"/>
      <c r="Q24" s="33"/>
      <c r="R24" s="33"/>
      <c r="S24" s="33"/>
      <c r="T24" s="33"/>
      <c r="U24" s="33"/>
      <c r="V24" s="33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33"/>
      <c r="P25" s="33"/>
      <c r="Q25" s="33"/>
      <c r="R25" s="33"/>
      <c r="S25" s="33"/>
      <c r="T25" s="33"/>
      <c r="U25" s="33"/>
      <c r="V25" s="33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33"/>
      <c r="P26" s="33"/>
      <c r="Q26" s="33"/>
      <c r="R26" s="33"/>
      <c r="S26" s="33"/>
      <c r="T26" s="33"/>
      <c r="U26" s="33"/>
      <c r="V26" s="33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33"/>
      <c r="P27" s="33"/>
      <c r="Q27" s="33"/>
      <c r="R27" s="33"/>
      <c r="S27" s="33"/>
      <c r="T27" s="33"/>
      <c r="U27" s="33"/>
      <c r="V27" s="33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33"/>
      <c r="P28" s="33"/>
      <c r="Q28" s="33"/>
      <c r="R28" s="33"/>
      <c r="S28" s="33"/>
      <c r="T28" s="33"/>
      <c r="U28" s="33"/>
      <c r="V28" s="33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33"/>
      <c r="P29" s="33"/>
      <c r="Q29" s="33"/>
      <c r="R29" s="33"/>
      <c r="S29" s="33"/>
      <c r="T29" s="33"/>
      <c r="U29" s="33"/>
      <c r="V29" s="33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33"/>
      <c r="P30" s="33"/>
      <c r="Q30" s="33"/>
      <c r="R30" s="33"/>
      <c r="S30" s="33"/>
      <c r="T30" s="33"/>
      <c r="U30" s="33"/>
      <c r="V30" s="33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33"/>
      <c r="P31" s="33"/>
      <c r="Q31" s="33"/>
      <c r="R31" s="33"/>
      <c r="S31" s="33"/>
      <c r="T31" s="33"/>
      <c r="U31" s="33"/>
      <c r="V31" s="33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33"/>
      <c r="P32" s="33"/>
      <c r="Q32" s="33"/>
      <c r="R32" s="33"/>
      <c r="S32" s="33"/>
      <c r="T32" s="33"/>
      <c r="U32" s="33"/>
      <c r="V32" s="33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33"/>
      <c r="P33" s="33"/>
      <c r="Q33" s="33"/>
      <c r="R33" s="33"/>
      <c r="S33" s="33"/>
      <c r="T33" s="33"/>
      <c r="U33" s="33"/>
      <c r="V33" s="33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33"/>
      <c r="P34" s="33"/>
      <c r="Q34" s="33"/>
      <c r="R34" s="33"/>
      <c r="S34" s="33"/>
      <c r="T34" s="33"/>
      <c r="U34" s="33"/>
      <c r="V34" s="33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33"/>
      <c r="P35" s="33"/>
      <c r="Q35" s="33"/>
      <c r="R35" s="33"/>
      <c r="S35" s="33"/>
      <c r="T35" s="33"/>
      <c r="U35" s="33"/>
      <c r="V35" s="33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33"/>
      <c r="P36" s="33"/>
      <c r="Q36" s="33"/>
      <c r="R36" s="33"/>
      <c r="S36" s="33"/>
      <c r="T36" s="33"/>
      <c r="U36" s="33"/>
      <c r="V36" s="33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33"/>
      <c r="P37" s="33"/>
      <c r="Q37" s="33"/>
      <c r="R37" s="33"/>
      <c r="S37" s="33"/>
      <c r="T37" s="33"/>
      <c r="U37" s="33"/>
      <c r="V37" s="33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33"/>
      <c r="P38" s="33"/>
      <c r="Q38" s="33"/>
      <c r="R38" s="33"/>
      <c r="S38" s="33"/>
      <c r="T38" s="33"/>
      <c r="U38" s="33"/>
      <c r="V38" s="33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33"/>
      <c r="P39" s="33"/>
      <c r="Q39" s="33"/>
      <c r="R39" s="33"/>
      <c r="S39" s="33"/>
      <c r="T39" s="33"/>
      <c r="U39" s="33"/>
      <c r="V39" s="33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33"/>
      <c r="P40" s="33"/>
      <c r="Q40" s="33"/>
      <c r="R40" s="33"/>
      <c r="S40" s="33"/>
      <c r="T40" s="33"/>
      <c r="U40" s="33"/>
      <c r="V40" s="33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33"/>
      <c r="P41" s="33"/>
      <c r="Q41" s="33"/>
      <c r="R41" s="33"/>
      <c r="S41" s="33"/>
      <c r="T41" s="33"/>
      <c r="U41" s="33"/>
      <c r="V41" s="33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33"/>
      <c r="P42" s="33"/>
      <c r="Q42" s="33"/>
      <c r="R42" s="33"/>
      <c r="S42" s="33"/>
      <c r="T42" s="33"/>
      <c r="U42" s="33"/>
      <c r="V42" s="33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33"/>
      <c r="P43" s="33"/>
      <c r="Q43" s="33"/>
      <c r="R43" s="33"/>
      <c r="S43" s="33"/>
      <c r="T43" s="33"/>
      <c r="U43" s="33"/>
      <c r="V43" s="33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33"/>
      <c r="P44" s="33"/>
      <c r="Q44" s="33"/>
      <c r="R44" s="33"/>
      <c r="S44" s="33"/>
      <c r="T44" s="33"/>
      <c r="U44" s="33"/>
      <c r="V44" s="33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33"/>
      <c r="P45" s="33"/>
      <c r="Q45" s="33"/>
      <c r="R45" s="33"/>
      <c r="S45" s="33"/>
      <c r="T45" s="33"/>
      <c r="U45" s="33"/>
      <c r="V45" s="33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33"/>
      <c r="P46" s="33"/>
      <c r="Q46" s="33"/>
      <c r="R46" s="33"/>
      <c r="S46" s="33"/>
      <c r="T46" s="33"/>
      <c r="U46" s="33"/>
      <c r="V46" s="33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s="33"/>
      <c r="P47" s="33"/>
      <c r="Q47" s="33"/>
      <c r="R47" s="33"/>
      <c r="S47" s="33"/>
      <c r="T47" s="33"/>
      <c r="U47" s="33"/>
      <c r="V47" s="33"/>
    </row>
    <row r="48" spans="1:22" x14ac:dyDescent="0.4">
      <c r="A48" s="23"/>
      <c r="B48" s="24"/>
      <c r="D48" s="23"/>
      <c r="E48" s="24"/>
      <c r="G48" s="23"/>
      <c r="H48" s="24"/>
      <c r="J48" s="23"/>
      <c r="K48" s="24"/>
      <c r="O48" t="s">
        <v>144</v>
      </c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3"/>
      <c r="B52" s="24"/>
      <c r="D52" s="23"/>
      <c r="E52" s="24"/>
      <c r="G52" s="23"/>
      <c r="H52" s="24"/>
      <c r="J52" s="23"/>
      <c r="K52" s="24"/>
    </row>
    <row r="53" spans="1:11" x14ac:dyDescent="0.4">
      <c r="A53" s="25"/>
      <c r="B53" s="26"/>
      <c r="D53" s="25"/>
      <c r="E53" s="26"/>
      <c r="G53" s="25"/>
      <c r="H53" s="26"/>
      <c r="J53" s="25"/>
      <c r="K53" s="26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81</v>
      </c>
      <c r="B1" s="1" t="s">
        <v>52</v>
      </c>
      <c r="C1" s="1" t="s">
        <v>53</v>
      </c>
      <c r="D1" s="1" t="s">
        <v>83</v>
      </c>
      <c r="E1" s="1" t="s">
        <v>84</v>
      </c>
      <c r="F1" s="1" t="s">
        <v>55</v>
      </c>
      <c r="G1" s="1" t="s">
        <v>54</v>
      </c>
      <c r="H1" s="1" t="s">
        <v>110</v>
      </c>
      <c r="K1" s="15"/>
    </row>
    <row r="2" spans="1:11" x14ac:dyDescent="0.4">
      <c r="A2" s="2" t="s">
        <v>93</v>
      </c>
      <c r="B2" s="10">
        <v>45288</v>
      </c>
      <c r="C2" s="2" t="s">
        <v>56</v>
      </c>
      <c r="D2" s="2" t="s">
        <v>85</v>
      </c>
      <c r="E2" s="2" t="s">
        <v>85</v>
      </c>
      <c r="F2" s="2">
        <v>1</v>
      </c>
      <c r="G2" s="5"/>
      <c r="H2" s="2" t="str">
        <f>IF(ISBLANK('Market Data'!O2), "official",  'Market Data'!O2)</f>
        <v>HS_1</v>
      </c>
      <c r="K2" s="14"/>
    </row>
    <row r="4" spans="1:11" x14ac:dyDescent="0.4">
      <c r="A4" s="51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52"/>
      <c r="B5" s="5"/>
      <c r="C5" s="5"/>
      <c r="D5" s="5"/>
      <c r="E5" s="5"/>
    </row>
    <row r="8" spans="1:11" x14ac:dyDescent="0.4">
      <c r="A8" s="20" t="s">
        <v>94</v>
      </c>
      <c r="B8" s="19"/>
    </row>
    <row r="9" spans="1:11" x14ac:dyDescent="0.4">
      <c r="A9" s="5" t="s">
        <v>95</v>
      </c>
      <c r="B9" s="5"/>
    </row>
    <row r="10" spans="1:11" x14ac:dyDescent="0.4">
      <c r="A10" s="5" t="s">
        <v>96</v>
      </c>
      <c r="B10" s="5"/>
    </row>
    <row r="11" spans="1:11" x14ac:dyDescent="0.4">
      <c r="A11" s="5" t="s">
        <v>97</v>
      </c>
      <c r="B11" s="5"/>
    </row>
    <row r="12" spans="1:11" x14ac:dyDescent="0.4">
      <c r="A12" s="5" t="s">
        <v>98</v>
      </c>
      <c r="B12" s="5"/>
    </row>
    <row r="13" spans="1:11" x14ac:dyDescent="0.4">
      <c r="A13" s="5" t="s">
        <v>99</v>
      </c>
      <c r="B13" s="5"/>
    </row>
    <row r="14" spans="1:11" x14ac:dyDescent="0.4">
      <c r="A14" s="5" t="s">
        <v>100</v>
      </c>
      <c r="B14" s="5"/>
    </row>
    <row r="15" spans="1:11" x14ac:dyDescent="0.4">
      <c r="A15" s="5" t="s">
        <v>101</v>
      </c>
      <c r="B15" s="5"/>
    </row>
    <row r="16" spans="1:11" x14ac:dyDescent="0.4">
      <c r="A16" s="5" t="s">
        <v>102</v>
      </c>
      <c r="B16" s="5"/>
    </row>
    <row r="17" spans="1:2" x14ac:dyDescent="0.4">
      <c r="A17" s="5" t="s">
        <v>103</v>
      </c>
      <c r="B17" s="5"/>
    </row>
    <row r="18" spans="1:2" x14ac:dyDescent="0.4">
      <c r="A18" s="5" t="s">
        <v>104</v>
      </c>
      <c r="B18" s="5"/>
    </row>
    <row r="19" spans="1:2" x14ac:dyDescent="0.4">
      <c r="A19" s="5" t="s">
        <v>105</v>
      </c>
      <c r="B19" s="5"/>
    </row>
    <row r="20" spans="1:2" x14ac:dyDescent="0.4">
      <c r="A20" s="5" t="s">
        <v>106</v>
      </c>
      <c r="B20" s="5"/>
    </row>
    <row r="21" spans="1:2" x14ac:dyDescent="0.4">
      <c r="A21" s="5" t="s">
        <v>107</v>
      </c>
      <c r="B21" s="5"/>
    </row>
    <row r="22" spans="1:2" x14ac:dyDescent="0.4">
      <c r="A22" s="5" t="s">
        <v>108</v>
      </c>
      <c r="B22" s="5"/>
    </row>
    <row r="23" spans="1:2" x14ac:dyDescent="0.4">
      <c r="A23" s="5" t="s">
        <v>109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R41"/>
  <sheetViews>
    <sheetView tabSelected="1" topLeftCell="X9" zoomScaleNormal="100" workbookViewId="0">
      <selection activeCell="Z18" sqref="Z18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  <col min="26" max="30" width="23.5" customWidth="1"/>
  </cols>
  <sheetData>
    <row r="1" spans="1:44" x14ac:dyDescent="0.4">
      <c r="A1" s="1" t="s">
        <v>52</v>
      </c>
      <c r="B1" s="1" t="s">
        <v>53</v>
      </c>
      <c r="C1" s="1" t="s">
        <v>54</v>
      </c>
      <c r="D1" s="1" t="s">
        <v>111</v>
      </c>
      <c r="G1" s="3"/>
      <c r="I1" s="3"/>
    </row>
    <row r="2" spans="1:44" ht="16.5" customHeight="1" x14ac:dyDescent="0.4">
      <c r="A2" s="10">
        <v>45263</v>
      </c>
      <c r="B2" s="2" t="s">
        <v>56</v>
      </c>
      <c r="C2" s="5"/>
      <c r="D2" s="2" t="s">
        <v>112</v>
      </c>
      <c r="G2" s="3"/>
      <c r="I2" s="3"/>
      <c r="Q2" s="53" t="s">
        <v>138</v>
      </c>
      <c r="R2" s="54"/>
      <c r="S2" s="54"/>
      <c r="T2" s="54"/>
      <c r="U2" s="54"/>
      <c r="V2" s="54"/>
      <c r="W2" s="54"/>
      <c r="X2" s="54"/>
      <c r="Y2" s="55"/>
      <c r="Z2" s="35"/>
      <c r="AA2" s="35"/>
      <c r="AB2" s="35"/>
      <c r="AC2" s="35"/>
      <c r="AD2" s="35"/>
      <c r="AH2" s="36"/>
      <c r="AI2" s="33"/>
      <c r="AJ2" s="33"/>
      <c r="AK2" s="33"/>
      <c r="AL2" s="33"/>
      <c r="AM2" s="33"/>
      <c r="AN2" s="33"/>
    </row>
    <row r="3" spans="1:44" x14ac:dyDescent="0.4">
      <c r="A3" s="4"/>
      <c r="B3" s="4"/>
      <c r="C3" s="3"/>
      <c r="D3" s="3"/>
      <c r="E3" s="3"/>
      <c r="F3" s="3"/>
      <c r="G3" s="3"/>
      <c r="I3" s="3"/>
      <c r="Q3" s="56"/>
      <c r="R3" s="57"/>
      <c r="S3" s="57"/>
      <c r="T3" s="57"/>
      <c r="U3" s="57"/>
      <c r="V3" s="57"/>
      <c r="W3" s="57"/>
      <c r="X3" s="57"/>
      <c r="Y3" s="58"/>
      <c r="Z3" s="35"/>
      <c r="AA3" s="35"/>
      <c r="AB3" s="35"/>
      <c r="AC3" s="35"/>
      <c r="AD3" s="35"/>
      <c r="AH3" s="33"/>
      <c r="AI3" s="33"/>
      <c r="AJ3" s="33"/>
      <c r="AK3" s="33"/>
      <c r="AL3" s="33"/>
      <c r="AM3" s="33"/>
      <c r="AN3" s="33"/>
    </row>
    <row r="4" spans="1:44" x14ac:dyDescent="0.4">
      <c r="A4" s="51" t="s">
        <v>57</v>
      </c>
      <c r="B4" s="1" t="s">
        <v>60</v>
      </c>
      <c r="C4" s="1" t="s">
        <v>61</v>
      </c>
      <c r="G4" s="3"/>
      <c r="I4" s="3"/>
      <c r="Q4" s="56"/>
      <c r="R4" s="57"/>
      <c r="S4" s="57"/>
      <c r="T4" s="57"/>
      <c r="U4" s="57"/>
      <c r="V4" s="57"/>
      <c r="W4" s="57"/>
      <c r="X4" s="57"/>
      <c r="Y4" s="58"/>
      <c r="Z4" s="35"/>
      <c r="AA4" s="35"/>
      <c r="AB4" s="35"/>
      <c r="AC4" s="35"/>
      <c r="AD4" s="35"/>
      <c r="AH4" s="33"/>
      <c r="AI4" s="33"/>
      <c r="AJ4" s="33"/>
      <c r="AK4" s="33"/>
      <c r="AL4" s="33"/>
      <c r="AM4" s="33"/>
      <c r="AN4" s="33"/>
    </row>
    <row r="5" spans="1:44" x14ac:dyDescent="0.4">
      <c r="A5" s="52"/>
      <c r="B5" s="5"/>
      <c r="C5" s="5"/>
      <c r="G5" s="3"/>
      <c r="I5" s="3"/>
      <c r="Q5" s="56"/>
      <c r="R5" s="57"/>
      <c r="S5" s="57"/>
      <c r="T5" s="57"/>
      <c r="U5" s="57"/>
      <c r="V5" s="57"/>
      <c r="W5" s="57"/>
      <c r="X5" s="57"/>
      <c r="Y5" s="58"/>
      <c r="Z5" s="35"/>
      <c r="AA5" s="35"/>
      <c r="AB5" s="35"/>
      <c r="AC5" s="35"/>
      <c r="AD5" s="35"/>
      <c r="AH5" s="33"/>
      <c r="AI5" s="33"/>
      <c r="AJ5" s="33"/>
      <c r="AK5" s="33"/>
      <c r="AL5" s="33"/>
      <c r="AM5" s="33"/>
      <c r="AN5" s="33"/>
    </row>
    <row r="6" spans="1:44" ht="16.5" customHeight="1" x14ac:dyDescent="0.4">
      <c r="Q6" s="56"/>
      <c r="R6" s="57"/>
      <c r="S6" s="57"/>
      <c r="T6" s="57"/>
      <c r="U6" s="57"/>
      <c r="V6" s="57"/>
      <c r="W6" s="57"/>
      <c r="X6" s="57"/>
      <c r="Y6" s="58"/>
      <c r="Z6" s="35"/>
      <c r="AA6" s="35"/>
      <c r="AB6" s="35"/>
      <c r="AC6" s="35"/>
      <c r="AD6" s="35"/>
      <c r="AH6" s="48" t="s">
        <v>172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</row>
    <row r="7" spans="1:44" x14ac:dyDescent="0.4">
      <c r="Q7" s="59"/>
      <c r="R7" s="60"/>
      <c r="S7" s="60"/>
      <c r="T7" s="60"/>
      <c r="U7" s="60"/>
      <c r="V7" s="60"/>
      <c r="W7" s="60"/>
      <c r="X7" s="60"/>
      <c r="Y7" s="61"/>
      <c r="Z7" s="35"/>
      <c r="AA7" s="35"/>
      <c r="AB7" s="35"/>
      <c r="AC7" s="35"/>
      <c r="AD7" s="35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</row>
    <row r="8" spans="1:44" x14ac:dyDescent="0.4">
      <c r="A8" s="12" t="s">
        <v>63</v>
      </c>
      <c r="B8" s="13">
        <f>COUNTA(A10:A139)</f>
        <v>8</v>
      </c>
      <c r="M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F8" t="s">
        <v>80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</row>
    <row r="9" spans="1:44" s="4" customFormat="1" ht="34.799999999999997" x14ac:dyDescent="0.4">
      <c r="A9" s="37" t="s">
        <v>62</v>
      </c>
      <c r="B9" s="37" t="s">
        <v>158</v>
      </c>
      <c r="C9" s="37" t="s">
        <v>64</v>
      </c>
      <c r="D9" s="37" t="s">
        <v>65</v>
      </c>
      <c r="E9" s="37" t="s">
        <v>66</v>
      </c>
      <c r="F9" s="37" t="s">
        <v>67</v>
      </c>
      <c r="G9" s="37" t="s">
        <v>75</v>
      </c>
      <c r="H9" s="37" t="s">
        <v>68</v>
      </c>
      <c r="I9" s="37" t="s">
        <v>69</v>
      </c>
      <c r="J9" s="37" t="s">
        <v>70</v>
      </c>
      <c r="K9" s="37" t="s">
        <v>113</v>
      </c>
      <c r="L9" s="37" t="s">
        <v>157</v>
      </c>
      <c r="M9" s="37" t="s">
        <v>71</v>
      </c>
      <c r="N9" s="37" t="s">
        <v>116</v>
      </c>
      <c r="O9" s="37" t="s">
        <v>73</v>
      </c>
      <c r="P9" s="37" t="s">
        <v>72</v>
      </c>
      <c r="Q9" s="37" t="s">
        <v>117</v>
      </c>
      <c r="R9" s="37" t="s">
        <v>119</v>
      </c>
      <c r="S9" s="37" t="s">
        <v>120</v>
      </c>
      <c r="T9" s="37" t="s">
        <v>136</v>
      </c>
      <c r="U9" s="37" t="s">
        <v>123</v>
      </c>
      <c r="V9" s="37" t="s">
        <v>121</v>
      </c>
      <c r="W9" s="37" t="s">
        <v>122</v>
      </c>
      <c r="X9" s="37" t="s">
        <v>137</v>
      </c>
      <c r="Y9" s="37" t="s">
        <v>124</v>
      </c>
      <c r="Z9" s="37" t="s">
        <v>162</v>
      </c>
      <c r="AA9" s="37" t="s">
        <v>159</v>
      </c>
      <c r="AB9" s="37" t="s">
        <v>166</v>
      </c>
      <c r="AC9" s="38" t="s">
        <v>167</v>
      </c>
      <c r="AD9" s="37" t="s">
        <v>164</v>
      </c>
      <c r="AE9" s="37" t="s">
        <v>74</v>
      </c>
      <c r="AF9" s="37" t="s">
        <v>79</v>
      </c>
      <c r="AG9" s="39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</row>
    <row r="10" spans="1:44" x14ac:dyDescent="0.4">
      <c r="A10" s="12">
        <v>1</v>
      </c>
      <c r="B10" s="12"/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114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 t="s">
        <v>78</v>
      </c>
      <c r="AF10" s="13"/>
      <c r="AG10" s="14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</row>
    <row r="11" spans="1:44" x14ac:dyDescent="0.4">
      <c r="A11" s="12">
        <v>2</v>
      </c>
      <c r="B11" s="12"/>
      <c r="C11" s="12">
        <v>20231218</v>
      </c>
      <c r="D11" s="13" t="s">
        <v>173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115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 t="s">
        <v>78</v>
      </c>
      <c r="AF11" s="13"/>
      <c r="AG11" s="14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</row>
    <row r="12" spans="1:44" x14ac:dyDescent="0.4">
      <c r="A12" s="12">
        <v>3</v>
      </c>
      <c r="B12" s="12"/>
      <c r="C12" s="12">
        <v>20231218</v>
      </c>
      <c r="D12" s="13" t="s">
        <v>118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7">
        <v>102</v>
      </c>
      <c r="R12" s="27">
        <v>100</v>
      </c>
      <c r="S12" s="27">
        <v>100</v>
      </c>
      <c r="T12" s="27">
        <v>120</v>
      </c>
      <c r="U12" s="27">
        <v>2</v>
      </c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78</v>
      </c>
      <c r="AF12" s="13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</row>
    <row r="13" spans="1:44" x14ac:dyDescent="0.4">
      <c r="A13" s="12">
        <v>4</v>
      </c>
      <c r="B13" s="12"/>
      <c r="C13" s="12">
        <v>20231218</v>
      </c>
      <c r="D13" s="13" t="s">
        <v>125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/>
      <c r="AA13" s="13"/>
      <c r="AB13" s="13"/>
      <c r="AC13" s="13"/>
      <c r="AD13" s="13"/>
      <c r="AE13" s="13" t="s">
        <v>78</v>
      </c>
      <c r="AF13" s="13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</row>
    <row r="14" spans="1:44" x14ac:dyDescent="0.4">
      <c r="A14" s="12">
        <v>5</v>
      </c>
      <c r="B14" s="12"/>
      <c r="C14" s="12">
        <v>20231218</v>
      </c>
      <c r="D14" s="13" t="s">
        <v>76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114</v>
      </c>
      <c r="L14" s="13">
        <v>40</v>
      </c>
      <c r="M14" s="13">
        <v>6.2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 t="s">
        <v>78</v>
      </c>
      <c r="AF14" s="13"/>
      <c r="AG14" s="14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</row>
    <row r="15" spans="1:44" x14ac:dyDescent="0.4">
      <c r="A15" s="12">
        <v>6</v>
      </c>
      <c r="B15" s="12"/>
      <c r="C15" s="12">
        <v>20231218</v>
      </c>
      <c r="D15" s="13" t="s">
        <v>160</v>
      </c>
      <c r="E15" s="13">
        <v>6</v>
      </c>
      <c r="F15" s="13">
        <v>2</v>
      </c>
      <c r="G15" s="13">
        <v>1</v>
      </c>
      <c r="H15" s="13" t="s">
        <v>38</v>
      </c>
      <c r="I15" s="13" t="s">
        <v>77</v>
      </c>
      <c r="J15" s="13"/>
      <c r="K15" s="13" t="s">
        <v>114</v>
      </c>
      <c r="L15" s="13">
        <v>40</v>
      </c>
      <c r="M15" s="13">
        <v>6.2</v>
      </c>
      <c r="N15" s="13"/>
      <c r="O15" s="13">
        <v>100</v>
      </c>
      <c r="P15" s="13">
        <v>50</v>
      </c>
      <c r="Q15" s="13"/>
      <c r="R15" s="13"/>
      <c r="S15" s="13"/>
      <c r="T15" s="13"/>
      <c r="U15" s="13"/>
      <c r="V15" s="13"/>
      <c r="W15" s="13"/>
      <c r="X15" s="13"/>
      <c r="Y15" s="13"/>
      <c r="Z15" s="13" t="s">
        <v>171</v>
      </c>
      <c r="AA15" s="13" t="s">
        <v>161</v>
      </c>
      <c r="AB15" s="13">
        <v>3</v>
      </c>
      <c r="AC15" s="13">
        <v>0.01</v>
      </c>
      <c r="AD15" s="13" t="s">
        <v>165</v>
      </c>
      <c r="AE15" s="13" t="s">
        <v>78</v>
      </c>
      <c r="AF15" s="13"/>
      <c r="AG15" s="14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</row>
    <row r="16" spans="1:44" x14ac:dyDescent="0.4">
      <c r="A16" s="12">
        <v>7</v>
      </c>
      <c r="B16" s="12"/>
      <c r="C16" s="12">
        <v>20231218</v>
      </c>
      <c r="D16" s="13" t="s">
        <v>168</v>
      </c>
      <c r="E16" s="13">
        <v>6</v>
      </c>
      <c r="F16" s="13">
        <v>2</v>
      </c>
      <c r="G16" s="13">
        <v>1</v>
      </c>
      <c r="H16" s="13" t="s">
        <v>38</v>
      </c>
      <c r="I16" s="13" t="s">
        <v>40</v>
      </c>
      <c r="J16" s="13"/>
      <c r="K16" s="13" t="s">
        <v>115</v>
      </c>
      <c r="L16" s="13"/>
      <c r="M16" s="13">
        <v>6.2</v>
      </c>
      <c r="N16" s="13">
        <v>6.2</v>
      </c>
      <c r="O16" s="13">
        <v>100</v>
      </c>
      <c r="P16" s="13">
        <v>50</v>
      </c>
      <c r="Q16" s="13"/>
      <c r="R16" s="13"/>
      <c r="S16" s="13"/>
      <c r="T16" s="13"/>
      <c r="U16" s="13"/>
      <c r="V16" s="13"/>
      <c r="W16" s="13"/>
      <c r="X16" s="13"/>
      <c r="Y16" s="13"/>
      <c r="Z16" s="13" t="s">
        <v>174</v>
      </c>
      <c r="AA16" s="13" t="s">
        <v>161</v>
      </c>
      <c r="AB16" s="13">
        <v>3</v>
      </c>
      <c r="AC16" s="13">
        <v>0.01</v>
      </c>
      <c r="AD16" s="13" t="s">
        <v>165</v>
      </c>
      <c r="AE16" s="13" t="s">
        <v>78</v>
      </c>
      <c r="AF16" s="13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</row>
    <row r="17" spans="1:44" x14ac:dyDescent="0.4">
      <c r="A17" s="12">
        <v>8</v>
      </c>
      <c r="B17" s="12"/>
      <c r="C17" s="12">
        <v>20231218</v>
      </c>
      <c r="D17" s="13" t="s">
        <v>170</v>
      </c>
      <c r="E17" s="13">
        <v>6</v>
      </c>
      <c r="F17" s="13">
        <v>2</v>
      </c>
      <c r="G17" s="13">
        <v>1</v>
      </c>
      <c r="H17" s="13" t="s">
        <v>7</v>
      </c>
      <c r="I17" s="13" t="s">
        <v>12</v>
      </c>
      <c r="J17" s="13"/>
      <c r="K17" s="13" t="s">
        <v>169</v>
      </c>
      <c r="L17" s="13">
        <v>40</v>
      </c>
      <c r="M17" s="13">
        <v>12</v>
      </c>
      <c r="N17" s="13"/>
      <c r="O17" s="13">
        <v>100</v>
      </c>
      <c r="P17" s="13">
        <v>50</v>
      </c>
      <c r="Q17" s="13"/>
      <c r="R17" s="13"/>
      <c r="S17" s="13"/>
      <c r="T17" s="13"/>
      <c r="U17" s="13"/>
      <c r="V17" s="13"/>
      <c r="W17" s="13"/>
      <c r="X17" s="13"/>
      <c r="Y17" s="13"/>
      <c r="Z17" s="13" t="s">
        <v>163</v>
      </c>
      <c r="AA17" s="13" t="s">
        <v>161</v>
      </c>
      <c r="AB17" s="13">
        <v>3</v>
      </c>
      <c r="AC17" s="13">
        <v>0.01</v>
      </c>
      <c r="AD17" s="13" t="s">
        <v>165</v>
      </c>
      <c r="AE17" s="13" t="s">
        <v>78</v>
      </c>
      <c r="AF17" s="13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</row>
    <row r="18" spans="1:44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</row>
    <row r="19" spans="1:44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</row>
    <row r="20" spans="1:44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</row>
    <row r="21" spans="1:44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</row>
    <row r="22" spans="1:44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</row>
    <row r="23" spans="1:44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</row>
    <row r="24" spans="1:44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</row>
    <row r="25" spans="1:44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</row>
    <row r="26" spans="1:44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</row>
    <row r="27" spans="1:44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</row>
    <row r="28" spans="1:44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</row>
    <row r="29" spans="1:44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</row>
    <row r="30" spans="1:44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</row>
    <row r="31" spans="1:44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</row>
    <row r="32" spans="1:44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</row>
    <row r="33" spans="1:44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</row>
    <row r="34" spans="1:44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</row>
    <row r="35" spans="1:44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</row>
    <row r="36" spans="1:44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</row>
    <row r="37" spans="1:44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</row>
    <row r="38" spans="1:44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</row>
    <row r="39" spans="1:44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</row>
    <row r="40" spans="1:44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</row>
    <row r="41" spans="1:44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</row>
  </sheetData>
  <mergeCells count="3">
    <mergeCell ref="A4:A5"/>
    <mergeCell ref="Q2:Y7"/>
    <mergeCell ref="AH6:AR41"/>
  </mergeCells>
  <phoneticPr fontId="1" type="noConversion"/>
  <dataValidations count="5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G10:G12 G14:G16 H17:H41" xr:uid="{61303CF2-710D-41F4-92A9-8B84DBD4B75F}">
      <formula1>"1, 3"</formula1>
    </dataValidation>
    <dataValidation type="list" allowBlank="1" showInputMessage="1" showErrorMessage="1" sqref="D10:D41" xr:uid="{3BB1159E-9F1C-465A-9366-ABEC6D289868}">
      <formula1>"StepDown, Lizard,MonthlyCoupon, KnockOut, TwoWayKnockOut,StepDown(Swap), Lizard(Swap),MonthlyCoupon(Swap)"</formula1>
    </dataValidation>
    <dataValidation type="list" allowBlank="1" showInputMessage="1" showErrorMessage="1" sqref="Z10:Z41" xr:uid="{3C7F3159-DFC2-4854-A2E1-618C51AA4E9F}">
      <formula1>"Fixed,Floating"</formula1>
    </dataValidation>
    <dataValidation type="list" allowBlank="1" showInputMessage="1" showErrorMessage="1" sqref="AD10:AD41" xr:uid="{28E37786-212E-4948-952F-48E3359BA6B3}">
      <formula1>"ACT/365,ACT/360,30/360,30E/360,30E/360_ISDA,ACT/ACT,unadjust"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2024-05-28T14:44:26Z</dcterms:modified>
</cp:coreProperties>
</file>