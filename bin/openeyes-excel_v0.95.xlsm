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4813AD24-52CA-4A6C-A229-0D3ED73B4A18}" xr6:coauthVersionLast="47" xr6:coauthVersionMax="47" xr10:uidLastSave="{00000000-0000-0000-0000-000000000000}"/>
  <bookViews>
    <workbookView xWindow="-108" yWindow="-108" windowWidth="23256" windowHeight="12576" firstSheet="1" activeTab="6" xr2:uid="{D579C9A6-6C0E-4926-85B4-935B81558EC6}"/>
  </bookViews>
  <sheets>
    <sheet name="Sheet1" sheetId="1" r:id="rId1"/>
    <sheet name="Market Data" sheetId="2" r:id="rId2"/>
    <sheet name="Vol" sheetId="3" r:id="rId3"/>
    <sheet name="DiscreteDividend" sheetId="4" r:id="rId4"/>
    <sheet name="Dividend" sheetId="5" r:id="rId5"/>
    <sheet name="Quote" sheetId="6" r:id="rId6"/>
    <sheet name="Quote_2" sheetId="8" r:id="rId7"/>
    <sheet name="HistoricalVol" sheetId="7" r:id="rId8"/>
  </sheets>
  <functionGroups builtInGroupCount="19"/>
  <externalReferences>
    <externalReference r:id="rId9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8" l="1"/>
  <c r="AC10" i="6"/>
  <c r="AC11" i="6"/>
  <c r="B8" i="6"/>
  <c r="D2" i="6"/>
  <c r="G6" i="5"/>
  <c r="G7" i="5"/>
  <c r="G5" i="5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7" i="4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AF42" i="3"/>
  <c r="AF43" i="3"/>
  <c r="AF44" i="3"/>
  <c r="AF45" i="3"/>
  <c r="AF46" i="3"/>
  <c r="AF47" i="3"/>
  <c r="AF48" i="3"/>
  <c r="AF49" i="3"/>
  <c r="AF41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AF30" i="3"/>
  <c r="AF31" i="3"/>
  <c r="AF32" i="3"/>
  <c r="AF33" i="3"/>
  <c r="AF34" i="3"/>
  <c r="AF35" i="3"/>
  <c r="AF36" i="3"/>
  <c r="AF37" i="3"/>
  <c r="AF29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AF18" i="3"/>
  <c r="AF19" i="3"/>
  <c r="AF20" i="3"/>
  <c r="AF21" i="3"/>
  <c r="AF22" i="3"/>
  <c r="AF23" i="3"/>
  <c r="AF24" i="3"/>
  <c r="AF25" i="3"/>
  <c r="AF17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AF5" i="3"/>
  <c r="U22" i="2"/>
  <c r="T23" i="2"/>
  <c r="R20" i="2"/>
  <c r="Q23" i="2"/>
  <c r="R10" i="2"/>
  <c r="S10" i="2"/>
  <c r="T10" i="2"/>
  <c r="S11" i="2"/>
  <c r="T11" i="2"/>
  <c r="R12" i="2"/>
  <c r="T12" i="2"/>
  <c r="R13" i="2"/>
  <c r="S13" i="2"/>
  <c r="Q12" i="2"/>
  <c r="Q13" i="2"/>
  <c r="Q11" i="2"/>
  <c r="R9" i="2"/>
  <c r="S9" i="2"/>
  <c r="T9" i="2"/>
  <c r="Q9" i="2"/>
  <c r="P11" i="2"/>
  <c r="P12" i="2"/>
  <c r="P13" i="2"/>
  <c r="P10" i="2"/>
  <c r="N14" i="2"/>
  <c r="N13" i="2"/>
  <c r="N12" i="2"/>
  <c r="N11" i="2"/>
  <c r="N10" i="2"/>
  <c r="N9" i="2"/>
  <c r="N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A9B96454-325F-4766-966F-5F64AA756B59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48EFDDB9-FE67-40AB-89FA-1A860670363C}">
      <text>
        <r>
          <rPr>
            <b/>
            <sz val="9"/>
            <color indexed="81"/>
            <rFont val="돋움"/>
            <family val="3"/>
            <charset val="129"/>
          </rPr>
          <t>다음의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가능
</t>
        </r>
        <r>
          <rPr>
            <b/>
            <sz val="9"/>
            <color indexed="81"/>
            <rFont val="Tahoma"/>
            <family val="2"/>
          </rPr>
          <t xml:space="preserve">StepDown
Lizard
StepDown - Monthly Coupon
KnockOut
TwoWay KnockOut
</t>
        </r>
      </text>
    </comment>
    <comment ref="D9" authorId="0" shapeId="0" xr:uid="{7D3D0C8B-A98B-49E5-853A-BCFE57E28194}">
      <text>
        <r>
          <rPr>
            <b/>
            <sz val="9"/>
            <color indexed="81"/>
            <rFont val="Tahoma"/>
            <family val="2"/>
          </rPr>
          <t>juro2020-HS: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F9" authorId="0" shapeId="0" xr:uid="{7C43C66A-F962-4145-9194-A5737F875FC9}">
      <text>
        <r>
          <rPr>
            <b/>
            <sz val="9"/>
            <color indexed="81"/>
            <rFont val="Tahoma"/>
            <family val="2"/>
          </rPr>
          <t>juro2020-HS:</t>
        </r>
        <r>
          <rPr>
            <sz val="9"/>
            <color indexed="81"/>
            <rFont val="Tahoma"/>
            <family val="2"/>
          </rPr>
          <t xml:space="preserve">
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B3E1612D-B8C4-43C4-A277-8D4232A2D82B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9" authorId="0" shapeId="0" xr:uid="{B1E58B5A-6A27-4C28-AFE8-4E7B30F96A7F}">
      <text>
        <r>
          <rPr>
            <sz val="9"/>
            <color indexed="81"/>
            <rFont val="돋움"/>
            <family val="3"/>
            <charset val="129"/>
          </rPr>
          <t xml:space="preserve">기초자산 기준가격 결정일로 사용
</t>
        </r>
      </text>
    </comment>
    <comment ref="C9" authorId="0" shapeId="0" xr:uid="{6C0BC0B4-212A-4B0F-A244-89DBFE13A92A}">
      <text>
        <r>
          <rPr>
            <sz val="9"/>
            <color indexed="81"/>
            <rFont val="돋움"/>
            <family val="3"/>
            <charset val="129"/>
          </rPr>
          <t>다음의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
</t>
        </r>
        <r>
          <rPr>
            <sz val="9"/>
            <color indexed="81"/>
            <rFont val="Tahoma"/>
            <family val="2"/>
          </rPr>
          <t>StepDown
Lizard
StepDown - Monthly Coupon
KnockOut
TwoWay KnockOut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D9" authorId="0" shapeId="0" xr:uid="{186F11E7-18BB-40AC-B5E9-AE09D9E2664E}">
      <text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  <r>
          <rPr>
            <sz val="9"/>
            <color indexed="81"/>
            <rFont val="Tahoma"/>
            <family val="2"/>
          </rPr>
          <t xml:space="preserve">KnockOut, TwoWayKnockOut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만기평가일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거래일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F9" authorId="0" shapeId="0" xr:uid="{2059D2B1-48C5-444C-86B3-5589C9B53C05}">
      <text>
        <r>
          <rPr>
            <sz val="9"/>
            <color indexed="81"/>
            <rFont val="Tahoma"/>
            <family val="2"/>
          </rPr>
          <t>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J9" authorId="0" shapeId="0" xr:uid="{2EF3B1BC-61D9-4888-959F-58924389F04F}">
      <text>
        <r>
          <rPr>
            <sz val="9"/>
            <color indexed="81"/>
            <rFont val="돋움"/>
            <family val="3"/>
            <charset val="129"/>
          </rPr>
          <t>기존에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행사가를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
만약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구조가</t>
        </r>
        <r>
          <rPr>
            <sz val="9"/>
            <color indexed="81"/>
            <rFont val="Tahoma"/>
            <family val="2"/>
          </rPr>
          <t xml:space="preserve"> Lizard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회차의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베리어를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괄호안에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L9" authorId="0" shapeId="0" xr:uid="{6C8BD004-102F-4589-BDEF-5335585305C3}">
      <text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</commentList>
</comments>
</file>

<file path=xl/sharedStrings.xml><?xml version="1.0" encoding="utf-8"?>
<sst xmlns="http://schemas.openxmlformats.org/spreadsheetml/2006/main" count="273" uniqueCount="131">
  <si>
    <t>TargetDate</t>
    <phoneticPr fontId="3" type="noConversion"/>
  </si>
  <si>
    <t>Scenario</t>
    <phoneticPr fontId="3" type="noConversion"/>
  </si>
  <si>
    <t>Starting point</t>
    <phoneticPr fontId="1" type="noConversion"/>
  </si>
  <si>
    <t>M4</t>
    <phoneticPr fontId="1" type="noConversion"/>
  </si>
  <si>
    <t>Equity</t>
    <phoneticPr fontId="3" type="noConversion"/>
  </si>
  <si>
    <t>1)데이터 가져오기 OTC_PRIC_DATA_PRTC</t>
    <phoneticPr fontId="3" type="noConversion"/>
  </si>
  <si>
    <t>상관계수 : OTC_CRLT_CFCN_DATA_PRTC</t>
    <phoneticPr fontId="3" type="noConversion"/>
  </si>
  <si>
    <t>2)왼쪽 데이터에서 +0.001 올린값 저장하기  -&gt; OTC_PRIC_DATA_PRTC 저장</t>
    <phoneticPr fontId="3" type="noConversion"/>
  </si>
  <si>
    <t>Official Data</t>
    <phoneticPr fontId="3" type="noConversion"/>
  </si>
  <si>
    <t>Scenario Data</t>
    <phoneticPr fontId="3" type="noConversion"/>
  </si>
  <si>
    <t>Code</t>
    <phoneticPr fontId="3" type="noConversion"/>
  </si>
  <si>
    <t>ClosePrices</t>
    <phoneticPr fontId="3" type="noConversion"/>
  </si>
  <si>
    <t>Correlation</t>
    <phoneticPr fontId="3" type="noConversion"/>
  </si>
  <si>
    <t>ClosePrice</t>
    <phoneticPr fontId="3" type="noConversion"/>
  </si>
  <si>
    <t>KR7035420009</t>
    <phoneticPr fontId="1" type="noConversion"/>
  </si>
  <si>
    <t>KOSPI200</t>
  </si>
  <si>
    <t>N225</t>
    <phoneticPr fontId="3" type="noConversion"/>
  </si>
  <si>
    <t>HSCEI</t>
    <phoneticPr fontId="1" type="noConversion"/>
  </si>
  <si>
    <t>HSI</t>
  </si>
  <si>
    <t>EUROSTOXX</t>
    <phoneticPr fontId="3" type="noConversion"/>
  </si>
  <si>
    <t>SPX</t>
  </si>
  <si>
    <t>FX</t>
    <phoneticPr fontId="3" type="noConversion"/>
  </si>
  <si>
    <t>상관계수 : OTC_CRLT_CFCN_DATA_PRTC (이거 어떤 데이터를 이 Table에서 가져와야 하는가?)</t>
    <phoneticPr fontId="3" type="noConversion"/>
  </si>
  <si>
    <t>Scenario Data</t>
  </si>
  <si>
    <t>기준환율</t>
    <phoneticPr fontId="3" type="noConversion"/>
  </si>
  <si>
    <t>Mar환율</t>
    <phoneticPr fontId="3" type="noConversion"/>
  </si>
  <si>
    <t>KOSPI200</t>
    <phoneticPr fontId="1" type="noConversion"/>
  </si>
  <si>
    <t>FXKRWJPY</t>
    <phoneticPr fontId="1" type="noConversion"/>
  </si>
  <si>
    <t>FXKRWJPY</t>
    <phoneticPr fontId="3" type="noConversion"/>
  </si>
  <si>
    <t>FXKRWUSD</t>
    <phoneticPr fontId="3" type="noConversion"/>
  </si>
  <si>
    <t>FXKRWEUR</t>
    <phoneticPr fontId="3" type="noConversion"/>
  </si>
  <si>
    <t>FXKRWHKD</t>
    <phoneticPr fontId="3" type="noConversion"/>
  </si>
  <si>
    <t>Yield Curve</t>
    <phoneticPr fontId="3" type="noConversion"/>
  </si>
  <si>
    <t>OTC_ERRT_CURV_DATA_PRTC</t>
    <phoneticPr fontId="3" type="noConversion"/>
  </si>
  <si>
    <t>2)왼쪽 데이터에서 +0.0001 올린값 저장하기  -&gt; OTC_ERRT_CURV_DATA_PRTC</t>
    <phoneticPr fontId="3" type="noConversion"/>
  </si>
  <si>
    <t>USDIRSZ</t>
    <phoneticPr fontId="3" type="noConversion"/>
  </si>
  <si>
    <t>KRWIRSZ</t>
    <phoneticPr fontId="3" type="noConversion"/>
  </si>
  <si>
    <t>JPYIRSZ</t>
    <phoneticPr fontId="3" type="noConversion"/>
  </si>
  <si>
    <t>HKDIRSZ</t>
    <phoneticPr fontId="3" type="noConversion"/>
  </si>
  <si>
    <t>EURIRSZ</t>
    <phoneticPr fontId="3" type="noConversion"/>
  </si>
  <si>
    <t>Tenor</t>
    <phoneticPr fontId="3" type="noConversion"/>
  </si>
  <si>
    <t>Rate</t>
    <phoneticPr fontId="3" type="noConversion"/>
  </si>
  <si>
    <t>Vol</t>
    <phoneticPr fontId="3" type="noConversion"/>
  </si>
  <si>
    <t>Offficial Data</t>
    <phoneticPr fontId="3" type="noConversion"/>
  </si>
  <si>
    <t>Moneyless</t>
    <phoneticPr fontId="3" type="noConversion"/>
  </si>
  <si>
    <t>KOSPI_LV</t>
    <phoneticPr fontId="3" type="noConversion"/>
  </si>
  <si>
    <t>NKY_LV</t>
    <phoneticPr fontId="3" type="noConversion"/>
  </si>
  <si>
    <t>HSI_LV</t>
    <phoneticPr fontId="3" type="noConversion"/>
  </si>
  <si>
    <t>HSCEI_LV</t>
    <phoneticPr fontId="3" type="noConversion"/>
  </si>
  <si>
    <t>TEST10</t>
    <phoneticPr fontId="3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</si>
  <si>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</si>
  <si>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</si>
  <si>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</si>
  <si>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</si>
  <si>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</si>
  <si>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</si>
  <si>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Scenario</t>
    <phoneticPr fontId="1" type="noConversion"/>
  </si>
  <si>
    <t>TEST_1</t>
    <phoneticPr fontId="1" type="noConversion"/>
  </si>
  <si>
    <t>Dividend</t>
    <phoneticPr fontId="1" type="noConversion"/>
  </si>
  <si>
    <t>EUROSTOXX</t>
    <phoneticPr fontId="1" type="noConversion"/>
  </si>
  <si>
    <t>SPX</t>
    <phoneticPr fontId="1" type="noConversion"/>
  </si>
  <si>
    <t>Dividend</t>
    <phoneticPr fontId="1" type="noConversion"/>
  </si>
  <si>
    <t>KOSPI200</t>
    <phoneticPr fontId="1" type="noConversion"/>
  </si>
  <si>
    <t>EUROSTOXX</t>
    <phoneticPr fontId="1" type="noConversion"/>
  </si>
  <si>
    <t>SPX</t>
    <phoneticPr fontId="1" type="noConversion"/>
  </si>
  <si>
    <t>Val Date</t>
    <phoneticPr fontId="3" type="noConversion"/>
  </si>
  <si>
    <t>Val Type</t>
    <phoneticPr fontId="3" type="noConversion"/>
  </si>
  <si>
    <t>Greek Level</t>
    <phoneticPr fontId="3" type="noConversion"/>
  </si>
  <si>
    <t>Scenario ID</t>
    <phoneticPr fontId="3" type="noConversion"/>
  </si>
  <si>
    <t>P</t>
  </si>
  <si>
    <t>Monitoring</t>
    <phoneticPr fontId="3" type="noConversion"/>
  </si>
  <si>
    <t>Request</t>
    <phoneticPr fontId="3" type="noConversion"/>
  </si>
  <si>
    <t>End</t>
    <phoneticPr fontId="3" type="noConversion"/>
  </si>
  <si>
    <t>NumOfELS</t>
    <phoneticPr fontId="3" type="noConversion"/>
  </si>
  <si>
    <t>3Y만기 6M 주기 조기상환으로 설계함</t>
    <phoneticPr fontId="3" type="noConversion"/>
  </si>
  <si>
    <t>KnockOut, TwoWayKnockOut 의 경우 리베이트, 히팅쿠폰, 미히팅 참여율 필요</t>
    <phoneticPr fontId="3" type="noConversion"/>
  </si>
  <si>
    <t>Output</t>
    <phoneticPr fontId="3" type="noConversion"/>
  </si>
  <si>
    <t>SEQ</t>
    <phoneticPr fontId="3" type="noConversion"/>
  </si>
  <si>
    <t xml:space="preserve">거래일 </t>
    <phoneticPr fontId="3" type="noConversion"/>
  </si>
  <si>
    <t>상품 상세 구조</t>
    <phoneticPr fontId="3" type="noConversion"/>
  </si>
  <si>
    <t>조기상환 주기</t>
    <phoneticPr fontId="3" type="noConversion"/>
  </si>
  <si>
    <t>결제일 OffSet</t>
    <phoneticPr fontId="3" type="noConversion"/>
  </si>
  <si>
    <t>만기 평가 일수</t>
    <phoneticPr fontId="3" type="noConversion"/>
  </si>
  <si>
    <t>기초자산 1</t>
    <phoneticPr fontId="3" type="noConversion"/>
  </si>
  <si>
    <t>기초자산 2</t>
  </si>
  <si>
    <t>기초자산 3</t>
  </si>
  <si>
    <t>행사가(%) 1</t>
    <phoneticPr fontId="3" type="noConversion"/>
  </si>
  <si>
    <t>행사가(%) 2</t>
  </si>
  <si>
    <t>행사가(%) 3</t>
  </si>
  <si>
    <t>행사가(%) 4</t>
  </si>
  <si>
    <t>행사가(%) 5</t>
  </si>
  <si>
    <t>행사가(%) 6</t>
  </si>
  <si>
    <t>쿠폰(연, %)</t>
    <phoneticPr fontId="3" type="noConversion"/>
  </si>
  <si>
    <t>손실 참여율(%)</t>
    <phoneticPr fontId="3" type="noConversion"/>
  </si>
  <si>
    <t>KI Barrier(%)</t>
    <phoneticPr fontId="3" type="noConversion"/>
  </si>
  <si>
    <t>KO Barrier(%)</t>
    <phoneticPr fontId="3" type="noConversion"/>
  </si>
  <si>
    <t>Lizard 1 회차</t>
    <phoneticPr fontId="3" type="noConversion"/>
  </si>
  <si>
    <t>Lizard 1 베리어</t>
    <phoneticPr fontId="3" type="noConversion"/>
  </si>
  <si>
    <t>Lizard 1 쿠폰(%)</t>
    <phoneticPr fontId="3" type="noConversion"/>
  </si>
  <si>
    <t>Lizard 2 회차</t>
  </si>
  <si>
    <t>Lizard 2 베리어</t>
  </si>
  <si>
    <t>Lizard 2 쿠폰(%)</t>
  </si>
  <si>
    <t>계산 통화</t>
    <phoneticPr fontId="3" type="noConversion"/>
  </si>
  <si>
    <t>평가값</t>
    <phoneticPr fontId="3" type="noConversion"/>
  </si>
  <si>
    <t>StepDown</t>
  </si>
  <si>
    <t>KOSPI200</t>
    <phoneticPr fontId="3" type="noConversion"/>
  </si>
  <si>
    <t>SPX</t>
    <phoneticPr fontId="3" type="noConversion"/>
  </si>
  <si>
    <t>KRW</t>
    <phoneticPr fontId="3" type="noConversion"/>
  </si>
  <si>
    <t>Lizard</t>
  </si>
  <si>
    <t>NKY</t>
    <phoneticPr fontId="3" type="noConversion"/>
  </si>
  <si>
    <t>KI Barrier Type</t>
    <phoneticPr fontId="1" type="noConversion"/>
  </si>
  <si>
    <t>만기</t>
    <phoneticPr fontId="1" type="noConversion"/>
  </si>
  <si>
    <t>전구간</t>
    <phoneticPr fontId="1" type="noConversion"/>
  </si>
  <si>
    <t>Data Set ID</t>
    <phoneticPr fontId="3" type="noConversion"/>
  </si>
  <si>
    <t>official</t>
    <phoneticPr fontId="3" type="noConversion"/>
  </si>
  <si>
    <t>1) KnockOut 상품의 경우 Call베리어, Call참여율, KO Barrier(UpSide), 더미쿠폰(Upside, KO 베리어 히팅 시 쿠폰) 입력 필수</t>
    <phoneticPr fontId="3" type="noConversion"/>
  </si>
  <si>
    <t>행사가(%) 베리어</t>
    <phoneticPr fontId="3" type="noConversion"/>
  </si>
  <si>
    <t>리자드 쿠폰(연, %)</t>
    <phoneticPr fontId="3" type="noConversion"/>
  </si>
  <si>
    <t>원금보장율(%)</t>
    <phoneticPr fontId="3" type="noConversion"/>
  </si>
  <si>
    <t>Call 베리어(%)</t>
    <phoneticPr fontId="3" type="noConversion"/>
  </si>
  <si>
    <t>Call 참여율</t>
    <phoneticPr fontId="3" type="noConversion"/>
  </si>
  <si>
    <t>KO베리어(%, UpSide)</t>
    <phoneticPr fontId="3" type="noConversion"/>
  </si>
  <si>
    <t>더미 쿠폰(%, UpSide)</t>
    <phoneticPr fontId="3" type="noConversion"/>
  </si>
  <si>
    <t>Put 베리어(%)</t>
    <phoneticPr fontId="3" type="noConversion"/>
  </si>
  <si>
    <t>Put 참여율</t>
    <phoneticPr fontId="3" type="noConversion"/>
  </si>
  <si>
    <t>KO 베리어(%, DownSide)</t>
    <phoneticPr fontId="3" type="noConversion"/>
  </si>
  <si>
    <t>더미 쿠폰(%, DownSide)</t>
    <phoneticPr fontId="3" type="noConversion"/>
  </si>
  <si>
    <t>95-95-90-90-85-80</t>
    <phoneticPr fontId="3" type="noConversion"/>
  </si>
  <si>
    <t>95(80)-95(80)-90-90-85-80</t>
    <phoneticPr fontId="3" type="noConversion"/>
  </si>
  <si>
    <t>KnockOut</t>
  </si>
  <si>
    <t>TwoWayKnockOut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</si>
</sst>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b/>
      <sz val="16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45">
    <xf numFmtId="0" fontId="0" fillId="0" borderId="0" xfId="0">
      <alignment vertical="center"/>
    </xf>
    <xf numFmtId="0" fontId="2" fillId="2" borderId="1" xfId="1" applyFill="1" applyBorder="1" applyAlignment="1">
      <alignment horizontal="center" vertical="center"/>
    </xf>
    <xf numFmtId="0" fontId="2" fillId="0" borderId="0" xfId="1" applyAlignment="1">
      <alignment vertical="center"/>
    </xf>
    <xf numFmtId="14" fontId="2" fillId="0" borderId="1" xfId="1" applyNumberFormat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4" fillId="3" borderId="1" xfId="1" applyFont="1" applyFill="1" applyBorder="1" applyAlignment="1">
      <alignment horizontal="center" vertical="center"/>
    </xf>
    <xf numFmtId="0" fontId="2" fillId="0" borderId="1" xfId="1" applyBorder="1" applyAlignment="1">
      <alignment vertical="center"/>
    </xf>
    <xf numFmtId="0" fontId="2" fillId="4" borderId="1" xfId="1" applyFill="1" applyBorder="1" applyAlignment="1">
      <alignment vertical="center"/>
    </xf>
    <xf numFmtId="0" fontId="2" fillId="3" borderId="1" xfId="1" applyFill="1" applyBorder="1" applyAlignment="1">
      <alignment vertical="center"/>
    </xf>
    <xf numFmtId="0" fontId="2" fillId="4" borderId="5" xfId="1" applyFill="1" applyBorder="1" applyAlignment="1">
      <alignment vertical="center"/>
    </xf>
    <xf numFmtId="0" fontId="2" fillId="4" borderId="6" xfId="1" applyFill="1" applyBorder="1" applyAlignment="1">
      <alignment vertical="center"/>
    </xf>
    <xf numFmtId="0" fontId="2" fillId="4" borderId="7" xfId="1" applyFill="1" applyBorder="1" applyAlignment="1">
      <alignment vertical="center"/>
    </xf>
    <xf numFmtId="0" fontId="2" fillId="4" borderId="8" xfId="1" applyFill="1" applyBorder="1" applyAlignment="1">
      <alignment vertical="center"/>
    </xf>
    <xf numFmtId="0" fontId="2" fillId="4" borderId="9" xfId="1" applyFill="1" applyBorder="1" applyAlignment="1">
      <alignment vertical="center"/>
    </xf>
    <xf numFmtId="0" fontId="2" fillId="4" borderId="10" xfId="1" applyFill="1" applyBorder="1" applyAlignmen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1" applyAlignment="1">
      <alignment horizontal="center" vertical="center"/>
    </xf>
    <xf numFmtId="0" fontId="2" fillId="0" borderId="0" xfId="1"/>
    <xf numFmtId="0" fontId="2" fillId="0" borderId="1" xfId="1" applyBorder="1" applyAlignment="1">
      <alignment horizontal="center"/>
    </xf>
    <xf numFmtId="0" fontId="2" fillId="0" borderId="1" xfId="1" applyBorder="1"/>
    <xf numFmtId="0" fontId="5" fillId="0" borderId="0" xfId="1" applyFont="1"/>
    <xf numFmtId="0" fontId="2" fillId="5" borderId="1" xfId="1" applyFill="1" applyBorder="1" applyAlignment="1">
      <alignment horizontal="center"/>
    </xf>
    <xf numFmtId="0" fontId="5" fillId="0" borderId="0" xfId="1" applyFont="1" applyAlignment="1">
      <alignment horizontal="center"/>
    </xf>
    <xf numFmtId="0" fontId="2" fillId="0" borderId="0" xfId="1" applyAlignment="1">
      <alignment horizontal="center"/>
    </xf>
    <xf numFmtId="0" fontId="2" fillId="6" borderId="1" xfId="1" applyFill="1" applyBorder="1"/>
    <xf numFmtId="0" fontId="4" fillId="3" borderId="1" xfId="1" applyFont="1" applyFill="1" applyBorder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2" fillId="3" borderId="1" xfId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2" fillId="2" borderId="2" xfId="1" applyFill="1" applyBorder="1" applyAlignment="1">
      <alignment horizontal="center" vertical="center"/>
    </xf>
    <xf numFmtId="0" fontId="2" fillId="2" borderId="3" xfId="1" applyFill="1" applyBorder="1" applyAlignment="1">
      <alignment horizontal="center" vertical="center"/>
    </xf>
    <xf numFmtId="0" fontId="4" fillId="0" borderId="12" xfId="1" applyFont="1" applyBorder="1" applyAlignment="1">
      <alignment horizontal="left" vertical="top"/>
    </xf>
    <xf numFmtId="0" fontId="4" fillId="0" borderId="13" xfId="1" applyFont="1" applyBorder="1" applyAlignment="1">
      <alignment horizontal="left" vertical="top"/>
    </xf>
    <xf numFmtId="0" fontId="4" fillId="0" borderId="14" xfId="1" applyFont="1" applyBorder="1" applyAlignment="1">
      <alignment horizontal="left" vertical="top"/>
    </xf>
    <xf numFmtId="0" fontId="4" fillId="0" borderId="4" xfId="1" applyFont="1" applyBorder="1" applyAlignment="1">
      <alignment horizontal="left" vertical="top"/>
    </xf>
    <xf numFmtId="0" fontId="4" fillId="0" borderId="0" xfId="1" applyFont="1" applyAlignment="1">
      <alignment horizontal="left" vertical="top"/>
    </xf>
    <xf numFmtId="0" fontId="4" fillId="0" borderId="15" xfId="1" applyFont="1" applyBorder="1" applyAlignment="1">
      <alignment horizontal="left" vertical="top"/>
    </xf>
    <xf numFmtId="0" fontId="4" fillId="0" borderId="16" xfId="1" applyFont="1" applyBorder="1" applyAlignment="1">
      <alignment horizontal="left" vertical="top"/>
    </xf>
    <xf numFmtId="0" fontId="4" fillId="0" borderId="11" xfId="1" applyFont="1" applyBorder="1" applyAlignment="1">
      <alignment horizontal="left" vertical="top"/>
    </xf>
    <xf numFmtId="0" fontId="4" fillId="0" borderId="17" xfId="1" applyFont="1" applyBorder="1" applyAlignment="1">
      <alignment horizontal="left" vertical="top"/>
    </xf>
  </cellXfs>
  <cellStyles count="2">
    <cellStyle name="표준" xfId="0" builtinId="0"/>
    <cellStyle name="표준 2" xfId="1" xr:uid="{91A3E50D-024C-41D0-880D-A39927CAB06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DC485F4-B986-47CE-8F75-D1FA76EB8E39}"/>
            </a:ext>
          </a:extLst>
        </xdr:cNvPr>
        <xdr:cNvSpPr/>
      </xdr:nvSpPr>
      <xdr:spPr>
        <a:xfrm>
          <a:off x="2991485" y="38100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89B5AC42-C332-4165-ABE6-203091CBF094}"/>
            </a:ext>
          </a:extLst>
        </xdr:cNvPr>
        <xdr:cNvSpPr/>
      </xdr:nvSpPr>
      <xdr:spPr>
        <a:xfrm>
          <a:off x="10055225" y="27305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239782</xdr:colOff>
      <xdr:row>0</xdr:row>
      <xdr:rowOff>28575</xdr:rowOff>
    </xdr:from>
    <xdr:to>
      <xdr:col>5</xdr:col>
      <xdr:colOff>877956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304BBDA-FA4B-468D-9840-66F5345F6FD3}"/>
            </a:ext>
          </a:extLst>
        </xdr:cNvPr>
        <xdr:cNvSpPr/>
      </xdr:nvSpPr>
      <xdr:spPr>
        <a:xfrm>
          <a:off x="4689862" y="28575"/>
          <a:ext cx="1750694" cy="37338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239782</xdr:colOff>
      <xdr:row>0</xdr:row>
      <xdr:rowOff>28575</xdr:rowOff>
    </xdr:from>
    <xdr:to>
      <xdr:col>5</xdr:col>
      <xdr:colOff>877956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D8509A7F-486C-47BD-815D-C7F299C2FF33}"/>
            </a:ext>
          </a:extLst>
        </xdr:cNvPr>
        <xdr:cNvSpPr/>
      </xdr:nvSpPr>
      <xdr:spPr>
        <a:xfrm>
          <a:off x="4941322" y="28575"/>
          <a:ext cx="1750694" cy="37338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URO_NEW\Desktop\&#45936;&#51060;&#53552;%20api\FO_Excel_v0.2_macro_update_data_input_240328_quote.xlsm" TargetMode="External"/><Relationship Id="rId1" Type="http://schemas.openxmlformats.org/officeDocument/2006/relationships/externalLinkPath" Target="/Users/JURO_NEW/Desktop/&#45936;&#51060;&#53552;%20api/FO_Excel_v0.2_macro_update_data_input_240328_quo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rket Data"/>
      <sheetName val="Vol"/>
      <sheetName val="OTC"/>
      <sheetName val="InputData"/>
      <sheetName val="Quote"/>
    </sheetNames>
    <sheetDataSet>
      <sheetData sheetId="0">
        <row r="2">
          <cell r="O2" t="str">
            <v>TEST_2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D3C84-55A2-425C-984B-2447FB718EDF}">
  <sheetPr codeName="Sheet1"/>
  <dimension ref="A1"/>
  <sheetViews>
    <sheetView workbookViewId="0">
      <selection activeCell="J16" sqref="J16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2964-23AF-4ED3-9635-E8B105D8BBED}">
  <sheetPr codeName="Sheet2"/>
  <dimension ref="A1:V130"/>
  <sheetViews>
    <sheetView topLeftCell="D4" workbookViewId="0">
      <selection activeCell="M20" sqref="M20"/>
    </sheetView>
  </sheetViews>
  <sheetFormatPr defaultColWidth="11.09765625" defaultRowHeight="17.399999999999999" x14ac:dyDescent="0.4"/>
  <cols>
    <col min="1" max="1" width="13.8984375" style="2" bestFit="1" customWidth="1"/>
    <col min="2" max="2" width="11.09765625" style="2"/>
    <col min="3" max="4" width="13.8984375" style="2" bestFit="1" customWidth="1"/>
    <col min="5" max="10" width="11.09765625" style="2"/>
    <col min="11" max="12" width="5.59765625" style="2" customWidth="1"/>
    <col min="13" max="13" width="13.8984375" style="2" bestFit="1" customWidth="1"/>
    <col min="14" max="14" width="11.09765625" style="2"/>
    <col min="15" max="15" width="12.69921875" style="2" bestFit="1" customWidth="1"/>
    <col min="16" max="16" width="13.8984375" style="2" bestFit="1" customWidth="1"/>
    <col min="17" max="16384" width="11.09765625" style="2"/>
  </cols>
  <sheetData>
    <row r="1" spans="1:21" x14ac:dyDescent="0.4">
      <c r="A1" s="1" t="s">
        <v>0</v>
      </c>
      <c r="O1" s="1" t="s">
        <v>1</v>
      </c>
      <c r="P1" s="2" t="s">
        <v>2</v>
      </c>
    </row>
    <row r="2" spans="1:21" x14ac:dyDescent="0.4">
      <c r="A2" s="3">
        <v>45288</v>
      </c>
      <c r="O2" s="4" t="s">
        <v>49</v>
      </c>
      <c r="P2" s="2" t="s">
        <v>3</v>
      </c>
    </row>
    <row r="4" spans="1:21" x14ac:dyDescent="0.4">
      <c r="A4" s="5" t="s">
        <v>4</v>
      </c>
      <c r="B4" s="6" t="s">
        <v>5</v>
      </c>
      <c r="F4" s="6" t="s">
        <v>6</v>
      </c>
      <c r="M4" s="5" t="s">
        <v>4</v>
      </c>
      <c r="N4" s="6" t="s">
        <v>7</v>
      </c>
      <c r="T4" s="6" t="s">
        <v>6</v>
      </c>
    </row>
    <row r="5" spans="1:21" x14ac:dyDescent="0.4">
      <c r="A5" s="27" t="s">
        <v>8</v>
      </c>
      <c r="B5" s="27"/>
      <c r="C5" s="27"/>
      <c r="D5" s="27"/>
      <c r="E5" s="27"/>
      <c r="F5" s="27"/>
      <c r="G5" s="27"/>
      <c r="H5" s="27"/>
      <c r="I5" s="27"/>
      <c r="M5" s="27" t="s">
        <v>9</v>
      </c>
      <c r="N5" s="27"/>
      <c r="O5" s="27"/>
      <c r="P5" s="27"/>
      <c r="Q5" s="27"/>
      <c r="R5" s="27"/>
      <c r="S5" s="27"/>
      <c r="T5" s="27"/>
      <c r="U5" s="27"/>
    </row>
    <row r="6" spans="1:21" x14ac:dyDescent="0.4">
      <c r="A6" s="28" t="s">
        <v>10</v>
      </c>
      <c r="B6" s="28" t="s">
        <v>11</v>
      </c>
      <c r="C6" s="30" t="s">
        <v>12</v>
      </c>
      <c r="D6" s="30"/>
      <c r="E6" s="30"/>
      <c r="F6" s="30"/>
      <c r="G6" s="30"/>
      <c r="H6" s="30"/>
      <c r="I6" s="30"/>
      <c r="M6" s="28" t="s">
        <v>10</v>
      </c>
      <c r="N6" s="28" t="s">
        <v>13</v>
      </c>
      <c r="O6" s="30" t="s">
        <v>12</v>
      </c>
      <c r="P6" s="30"/>
      <c r="Q6" s="30"/>
      <c r="R6" s="30"/>
      <c r="S6" s="30"/>
      <c r="T6" s="30"/>
      <c r="U6" s="30"/>
    </row>
    <row r="7" spans="1:21" x14ac:dyDescent="0.4">
      <c r="A7" s="29"/>
      <c r="B7" s="29"/>
      <c r="C7" s="8" t="s">
        <v>14</v>
      </c>
      <c r="D7" s="8" t="s">
        <v>15</v>
      </c>
      <c r="E7" s="8" t="s">
        <v>16</v>
      </c>
      <c r="F7" s="8" t="s">
        <v>17</v>
      </c>
      <c r="G7" s="8" t="s">
        <v>18</v>
      </c>
      <c r="H7" s="8" t="s">
        <v>19</v>
      </c>
      <c r="I7" s="8" t="s">
        <v>20</v>
      </c>
      <c r="M7" s="29"/>
      <c r="N7" s="29"/>
      <c r="O7" s="8" t="s">
        <v>14</v>
      </c>
      <c r="P7" s="8" t="s">
        <v>15</v>
      </c>
      <c r="Q7" s="8" t="s">
        <v>16</v>
      </c>
      <c r="R7" s="8" t="s">
        <v>17</v>
      </c>
      <c r="S7" s="8" t="s">
        <v>18</v>
      </c>
      <c r="T7" s="8" t="s">
        <v>19</v>
      </c>
      <c r="U7" s="8" t="s">
        <v>20</v>
      </c>
    </row>
    <row r="8" spans="1:21" x14ac:dyDescent="0.4">
      <c r="A8" s="8" t="s">
        <v>14</v>
      </c>
      <c r="B8" s="8">
        <v>224000</v>
      </c>
      <c r="C8" s="8"/>
      <c r="D8" s="9"/>
      <c r="E8" s="9"/>
      <c r="F8" s="9"/>
      <c r="G8" s="9"/>
      <c r="H8" s="9"/>
      <c r="I8" s="9"/>
      <c r="M8" s="8" t="s">
        <v>14</v>
      </c>
      <c r="N8" s="8">
        <f>B8+0.001</f>
        <v>224000.00099999999</v>
      </c>
      <c r="O8" s="8"/>
      <c r="P8" s="8"/>
      <c r="Q8" s="8"/>
      <c r="R8" s="8"/>
      <c r="S8" s="8"/>
      <c r="T8" s="8"/>
      <c r="U8" s="8"/>
    </row>
    <row r="9" spans="1:21" x14ac:dyDescent="0.4">
      <c r="A9" s="8" t="s">
        <v>15</v>
      </c>
      <c r="B9" s="9">
        <v>357.99</v>
      </c>
      <c r="C9" s="8"/>
      <c r="D9" s="8"/>
      <c r="E9" s="9">
        <v>0.46376881990000002</v>
      </c>
      <c r="F9" s="9">
        <v>0.54844004410000002</v>
      </c>
      <c r="G9" s="9">
        <v>5.6204077099999999E-2</v>
      </c>
      <c r="H9" s="9">
        <v>0.1772162608</v>
      </c>
      <c r="I9" s="9"/>
      <c r="M9" s="8" t="s">
        <v>15</v>
      </c>
      <c r="N9" s="8">
        <f t="shared" ref="N9:N14" si="0">B9+0.001</f>
        <v>357.99099999999999</v>
      </c>
      <c r="O9" s="8"/>
      <c r="P9" s="8"/>
      <c r="Q9" s="8">
        <f>E9+0.001</f>
        <v>0.46476881990000002</v>
      </c>
      <c r="R9" s="8">
        <f t="shared" ref="R9:T9" si="1">F9+0.001</f>
        <v>0.54944004410000002</v>
      </c>
      <c r="S9" s="8">
        <f t="shared" si="1"/>
        <v>5.72040771E-2</v>
      </c>
      <c r="T9" s="8">
        <f t="shared" si="1"/>
        <v>0.1782162608</v>
      </c>
      <c r="U9" s="8"/>
    </row>
    <row r="10" spans="1:21" x14ac:dyDescent="0.4">
      <c r="A10" s="8" t="s">
        <v>16</v>
      </c>
      <c r="B10" s="9">
        <v>33477.46875</v>
      </c>
      <c r="C10" s="8"/>
      <c r="D10" s="8">
        <v>0.46376881990000002</v>
      </c>
      <c r="E10" s="8"/>
      <c r="F10" s="9">
        <v>0.2982972928</v>
      </c>
      <c r="G10" s="9">
        <v>0.31058351099999998</v>
      </c>
      <c r="H10" s="9">
        <v>0.1959438828</v>
      </c>
      <c r="I10" s="9"/>
      <c r="M10" s="8" t="s">
        <v>16</v>
      </c>
      <c r="N10" s="8">
        <f t="shared" si="0"/>
        <v>33477.469749999997</v>
      </c>
      <c r="O10" s="8"/>
      <c r="P10" s="8">
        <f>D10+0.001</f>
        <v>0.46476881990000002</v>
      </c>
      <c r="Q10" s="8"/>
      <c r="R10" s="8">
        <f t="shared" ref="R10:R13" si="2">F10+0.001</f>
        <v>0.2992972928</v>
      </c>
      <c r="S10" s="8">
        <f t="shared" ref="S10:S13" si="3">G10+0.001</f>
        <v>0.31158351099999998</v>
      </c>
      <c r="T10" s="8">
        <f t="shared" ref="T10:T12" si="4">H10+0.001</f>
        <v>0.1969438828</v>
      </c>
      <c r="U10" s="8"/>
    </row>
    <row r="11" spans="1:21" x14ac:dyDescent="0.4">
      <c r="A11" s="8" t="s">
        <v>17</v>
      </c>
      <c r="B11" s="9">
        <v>5764.77</v>
      </c>
      <c r="C11" s="8"/>
      <c r="D11" s="8">
        <v>0.54844004410000002</v>
      </c>
      <c r="E11" s="8">
        <v>0.2982972928</v>
      </c>
      <c r="F11" s="8"/>
      <c r="G11" s="9">
        <v>0.98626325550000005</v>
      </c>
      <c r="H11" s="9">
        <v>0.2276820745</v>
      </c>
      <c r="I11" s="9"/>
      <c r="M11" s="8" t="s">
        <v>17</v>
      </c>
      <c r="N11" s="8">
        <f t="shared" si="0"/>
        <v>5764.7710000000006</v>
      </c>
      <c r="O11" s="8"/>
      <c r="P11" s="8">
        <f t="shared" ref="P11:P13" si="5">D11+0.001</f>
        <v>0.54944004410000002</v>
      </c>
      <c r="Q11" s="8">
        <f>E11+0.001</f>
        <v>0.2992972928</v>
      </c>
      <c r="R11" s="8"/>
      <c r="S11" s="8">
        <f t="shared" si="3"/>
        <v>0.98726325550000005</v>
      </c>
      <c r="T11" s="8">
        <f t="shared" si="4"/>
        <v>0.2286820745</v>
      </c>
      <c r="U11" s="8"/>
    </row>
    <row r="12" spans="1:21" x14ac:dyDescent="0.4">
      <c r="A12" s="8" t="s">
        <v>18</v>
      </c>
      <c r="B12" s="9">
        <v>17043.53</v>
      </c>
      <c r="C12" s="8"/>
      <c r="D12" s="8">
        <v>5.6204077099999999E-2</v>
      </c>
      <c r="E12" s="8">
        <v>0.31058351099999998</v>
      </c>
      <c r="F12" s="8">
        <v>0.98626325550000005</v>
      </c>
      <c r="G12" s="8"/>
      <c r="H12" s="9">
        <v>0.21712042870000001</v>
      </c>
      <c r="I12" s="9"/>
      <c r="M12" s="8" t="s">
        <v>18</v>
      </c>
      <c r="N12" s="8">
        <f t="shared" si="0"/>
        <v>17043.530999999999</v>
      </c>
      <c r="O12" s="8"/>
      <c r="P12" s="8">
        <f t="shared" si="5"/>
        <v>5.72040771E-2</v>
      </c>
      <c r="Q12" s="8">
        <f t="shared" ref="Q12:Q13" si="6">E12+0.001</f>
        <v>0.31158351099999998</v>
      </c>
      <c r="R12" s="8">
        <f t="shared" si="2"/>
        <v>0.98726325550000005</v>
      </c>
      <c r="S12" s="8"/>
      <c r="T12" s="8">
        <f t="shared" si="4"/>
        <v>0.21812042870000001</v>
      </c>
      <c r="U12" s="8"/>
    </row>
    <row r="13" spans="1:21" x14ac:dyDescent="0.4">
      <c r="A13" s="8" t="s">
        <v>19</v>
      </c>
      <c r="B13" s="9">
        <v>4521.58</v>
      </c>
      <c r="C13" s="8"/>
      <c r="D13" s="8">
        <v>0.1772162608</v>
      </c>
      <c r="E13" s="8">
        <v>0.1959438828</v>
      </c>
      <c r="F13" s="8">
        <v>0.2276820745</v>
      </c>
      <c r="G13" s="8">
        <v>0.21712042870000001</v>
      </c>
      <c r="H13" s="8"/>
      <c r="I13" s="9"/>
      <c r="M13" s="8" t="s">
        <v>19</v>
      </c>
      <c r="N13" s="8">
        <f t="shared" si="0"/>
        <v>4521.5810000000001</v>
      </c>
      <c r="O13" s="8"/>
      <c r="P13" s="8">
        <f t="shared" si="5"/>
        <v>0.1782162608</v>
      </c>
      <c r="Q13" s="8">
        <f t="shared" si="6"/>
        <v>0.1969438828</v>
      </c>
      <c r="R13" s="8">
        <f t="shared" si="2"/>
        <v>0.2286820745</v>
      </c>
      <c r="S13" s="8">
        <f t="shared" si="3"/>
        <v>0.21812042870000001</v>
      </c>
      <c r="T13" s="8"/>
      <c r="U13" s="8"/>
    </row>
    <row r="14" spans="1:21" x14ac:dyDescent="0.4">
      <c r="A14" s="8" t="s">
        <v>20</v>
      </c>
      <c r="B14" s="9">
        <v>4781.58</v>
      </c>
      <c r="C14" s="8"/>
      <c r="D14" s="8"/>
      <c r="E14" s="8"/>
      <c r="F14" s="8"/>
      <c r="G14" s="8"/>
      <c r="H14" s="8"/>
      <c r="I14" s="8"/>
      <c r="M14" s="8" t="s">
        <v>20</v>
      </c>
      <c r="N14" s="8">
        <f t="shared" si="0"/>
        <v>4781.5810000000001</v>
      </c>
      <c r="O14" s="8"/>
      <c r="P14" s="8"/>
      <c r="Q14" s="8"/>
      <c r="R14" s="8"/>
      <c r="S14" s="8"/>
      <c r="T14" s="8"/>
      <c r="U14" s="8"/>
    </row>
    <row r="16" spans="1:21" x14ac:dyDescent="0.4">
      <c r="A16" s="5" t="s">
        <v>21</v>
      </c>
      <c r="B16" s="6"/>
      <c r="F16" s="6" t="s">
        <v>22</v>
      </c>
      <c r="M16" s="5" t="s">
        <v>21</v>
      </c>
      <c r="N16" s="6"/>
      <c r="T16" s="6" t="s">
        <v>6</v>
      </c>
    </row>
    <row r="17" spans="1:22" x14ac:dyDescent="0.4">
      <c r="A17" s="27" t="s">
        <v>8</v>
      </c>
      <c r="B17" s="27"/>
      <c r="C17" s="27"/>
      <c r="D17" s="27"/>
      <c r="E17" s="27"/>
      <c r="F17" s="27"/>
      <c r="G17" s="27"/>
      <c r="H17" s="27"/>
      <c r="I17" s="27"/>
      <c r="J17" s="27"/>
      <c r="M17" s="27" t="s">
        <v>23</v>
      </c>
      <c r="N17" s="27"/>
      <c r="O17" s="27"/>
      <c r="P17" s="27"/>
      <c r="Q17" s="27"/>
      <c r="R17" s="27"/>
      <c r="S17" s="27"/>
      <c r="T17" s="27"/>
      <c r="U17" s="27"/>
      <c r="V17" s="27"/>
    </row>
    <row r="18" spans="1:22" x14ac:dyDescent="0.4">
      <c r="A18" s="28" t="s">
        <v>10</v>
      </c>
      <c r="B18" s="28" t="s">
        <v>24</v>
      </c>
      <c r="C18" s="28" t="s">
        <v>25</v>
      </c>
      <c r="D18" s="30" t="s">
        <v>12</v>
      </c>
      <c r="E18" s="30"/>
      <c r="F18" s="30"/>
      <c r="G18" s="30"/>
      <c r="H18" s="30"/>
      <c r="I18" s="30"/>
      <c r="J18" s="30"/>
      <c r="M18" s="28" t="s">
        <v>10</v>
      </c>
      <c r="N18" s="28" t="s">
        <v>24</v>
      </c>
      <c r="O18" s="28" t="s">
        <v>25</v>
      </c>
      <c r="P18" s="30" t="s">
        <v>12</v>
      </c>
      <c r="Q18" s="30"/>
      <c r="R18" s="30"/>
      <c r="S18" s="30"/>
      <c r="T18" s="30"/>
      <c r="U18" s="30"/>
      <c r="V18" s="30"/>
    </row>
    <row r="19" spans="1:22" x14ac:dyDescent="0.4">
      <c r="A19" s="29"/>
      <c r="B19" s="29"/>
      <c r="C19" s="29"/>
      <c r="D19" s="8" t="s">
        <v>14</v>
      </c>
      <c r="E19" s="8" t="s">
        <v>17</v>
      </c>
      <c r="F19" s="8" t="s">
        <v>16</v>
      </c>
      <c r="G19" s="8" t="s">
        <v>26</v>
      </c>
      <c r="H19" s="8" t="s">
        <v>18</v>
      </c>
      <c r="I19" s="8" t="s">
        <v>19</v>
      </c>
      <c r="J19" s="8" t="s">
        <v>20</v>
      </c>
      <c r="M19" s="29"/>
      <c r="N19" s="29"/>
      <c r="O19" s="29"/>
      <c r="P19" s="8" t="s">
        <v>14</v>
      </c>
      <c r="Q19" s="8" t="s">
        <v>17</v>
      </c>
      <c r="R19" s="8" t="s">
        <v>16</v>
      </c>
      <c r="S19" s="8" t="s">
        <v>26</v>
      </c>
      <c r="T19" s="8" t="s">
        <v>18</v>
      </c>
      <c r="U19" s="8" t="s">
        <v>19</v>
      </c>
      <c r="V19" s="8" t="s">
        <v>20</v>
      </c>
    </row>
    <row r="20" spans="1:22" x14ac:dyDescent="0.4">
      <c r="A20" s="2" t="s">
        <v>27</v>
      </c>
      <c r="B20" s="8"/>
      <c r="C20" s="8"/>
      <c r="D20" s="8"/>
      <c r="E20" s="8"/>
      <c r="F20" s="8">
        <v>-0.10659894559999999</v>
      </c>
      <c r="G20" s="8"/>
      <c r="H20" s="8"/>
      <c r="I20" s="8"/>
      <c r="J20" s="9"/>
      <c r="M20" s="8" t="s">
        <v>28</v>
      </c>
      <c r="N20" s="8"/>
      <c r="O20" s="8"/>
      <c r="P20" s="8"/>
      <c r="Q20" s="8"/>
      <c r="R20" s="8">
        <f>F20+0.001</f>
        <v>-0.10559894559999999</v>
      </c>
      <c r="S20" s="8"/>
      <c r="T20" s="8"/>
      <c r="U20" s="8"/>
      <c r="V20" s="9"/>
    </row>
    <row r="21" spans="1:22" x14ac:dyDescent="0.4">
      <c r="A21" s="8" t="s">
        <v>29</v>
      </c>
      <c r="B21" s="8"/>
      <c r="C21" s="8"/>
      <c r="D21" s="8"/>
      <c r="E21" s="8"/>
      <c r="F21" s="9"/>
      <c r="G21" s="8"/>
      <c r="H21" s="8"/>
      <c r="I21" s="8"/>
      <c r="J21" s="8"/>
      <c r="M21" s="8" t="s">
        <v>29</v>
      </c>
      <c r="N21" s="8"/>
      <c r="O21" s="8"/>
      <c r="P21" s="8"/>
      <c r="Q21" s="8"/>
      <c r="R21" s="9"/>
      <c r="S21" s="8"/>
      <c r="T21" s="8"/>
      <c r="U21" s="8"/>
      <c r="V21" s="8"/>
    </row>
    <row r="22" spans="1:22" x14ac:dyDescent="0.4">
      <c r="A22" s="8" t="s">
        <v>30</v>
      </c>
      <c r="B22" s="8"/>
      <c r="C22" s="8"/>
      <c r="D22" s="8"/>
      <c r="E22" s="8"/>
      <c r="F22" s="8"/>
      <c r="G22" s="8"/>
      <c r="H22" s="8"/>
      <c r="I22" s="9">
        <v>3.16583566E-2</v>
      </c>
      <c r="J22" s="8"/>
      <c r="M22" s="8" t="s">
        <v>30</v>
      </c>
      <c r="N22" s="8"/>
      <c r="O22" s="8"/>
      <c r="P22" s="8"/>
      <c r="Q22" s="8"/>
      <c r="R22" s="8"/>
      <c r="S22" s="8"/>
      <c r="T22" s="8"/>
      <c r="U22" s="9">
        <f>I22+0.001</f>
        <v>3.2658356600000001E-2</v>
      </c>
      <c r="V22" s="8"/>
    </row>
    <row r="23" spans="1:22" x14ac:dyDescent="0.4">
      <c r="A23" s="8" t="s">
        <v>31</v>
      </c>
      <c r="B23" s="8"/>
      <c r="C23" s="8"/>
      <c r="D23" s="8"/>
      <c r="E23" s="8">
        <v>1.894668E-3</v>
      </c>
      <c r="F23" s="8"/>
      <c r="G23" s="9"/>
      <c r="H23" s="9">
        <v>2.8791368999999999E-3</v>
      </c>
      <c r="I23" s="8"/>
      <c r="J23" s="8"/>
      <c r="M23" s="8" t="s">
        <v>31</v>
      </c>
      <c r="N23" s="8"/>
      <c r="O23" s="8"/>
      <c r="P23" s="8"/>
      <c r="Q23" s="8">
        <f>E23+0.001</f>
        <v>2.894668E-3</v>
      </c>
      <c r="R23" s="8"/>
      <c r="S23" s="9"/>
      <c r="T23" s="9">
        <f>H23+0.001</f>
        <v>3.8791368999999999E-3</v>
      </c>
      <c r="U23" s="8"/>
      <c r="V23" s="8"/>
    </row>
    <row r="25" spans="1:22" x14ac:dyDescent="0.4">
      <c r="A25" s="5" t="s">
        <v>32</v>
      </c>
      <c r="B25" s="6" t="s">
        <v>33</v>
      </c>
      <c r="M25" s="5" t="s">
        <v>32</v>
      </c>
      <c r="N25" s="6" t="s">
        <v>34</v>
      </c>
    </row>
    <row r="26" spans="1:22" x14ac:dyDescent="0.4">
      <c r="A26" s="27" t="s">
        <v>8</v>
      </c>
      <c r="B26" s="27"/>
      <c r="C26" s="27"/>
      <c r="D26" s="27"/>
      <c r="E26" s="27"/>
      <c r="F26" s="27"/>
      <c r="G26" s="27"/>
      <c r="H26" s="27"/>
      <c r="I26" s="27"/>
      <c r="J26" s="27"/>
      <c r="M26" s="31" t="s">
        <v>23</v>
      </c>
      <c r="N26" s="32"/>
      <c r="O26" s="32"/>
      <c r="P26" s="32"/>
      <c r="Q26" s="32"/>
      <c r="R26" s="32"/>
      <c r="S26" s="32"/>
      <c r="T26" s="32"/>
      <c r="U26" s="32"/>
      <c r="V26" s="32"/>
    </row>
    <row r="27" spans="1:22" x14ac:dyDescent="0.4">
      <c r="A27" s="10" t="s">
        <v>35</v>
      </c>
      <c r="B27" s="10"/>
      <c r="C27" s="10" t="s">
        <v>36</v>
      </c>
      <c r="D27" s="10"/>
      <c r="E27" s="10" t="s">
        <v>37</v>
      </c>
      <c r="F27" s="10"/>
      <c r="G27" s="10" t="s">
        <v>38</v>
      </c>
      <c r="H27" s="10"/>
      <c r="I27" s="10" t="s">
        <v>39</v>
      </c>
      <c r="J27" s="10"/>
      <c r="M27" s="10" t="s">
        <v>35</v>
      </c>
      <c r="N27" s="10"/>
      <c r="O27" s="10" t="s">
        <v>36</v>
      </c>
      <c r="P27" s="10"/>
      <c r="Q27" s="10" t="s">
        <v>37</v>
      </c>
      <c r="R27" s="10"/>
      <c r="S27" s="10" t="s">
        <v>38</v>
      </c>
      <c r="T27" s="10"/>
      <c r="U27" s="10" t="s">
        <v>39</v>
      </c>
      <c r="V27" s="10"/>
    </row>
    <row r="28" spans="1:22" x14ac:dyDescent="0.4">
      <c r="A28" s="10" t="s">
        <v>40</v>
      </c>
      <c r="B28" s="10" t="s">
        <v>41</v>
      </c>
      <c r="C28" s="10" t="s">
        <v>40</v>
      </c>
      <c r="D28" s="10" t="s">
        <v>41</v>
      </c>
      <c r="E28" s="10" t="s">
        <v>40</v>
      </c>
      <c r="F28" s="10" t="s">
        <v>41</v>
      </c>
      <c r="G28" s="10" t="s">
        <v>40</v>
      </c>
      <c r="H28" s="10" t="s">
        <v>41</v>
      </c>
      <c r="I28" s="10" t="s">
        <v>40</v>
      </c>
      <c r="J28" s="10" t="s">
        <v>41</v>
      </c>
      <c r="M28" s="10" t="s">
        <v>40</v>
      </c>
      <c r="N28" s="10" t="s">
        <v>41</v>
      </c>
      <c r="O28" s="10" t="s">
        <v>40</v>
      </c>
      <c r="P28" s="10" t="s">
        <v>41</v>
      </c>
      <c r="Q28" s="10" t="s">
        <v>40</v>
      </c>
      <c r="R28" s="10" t="s">
        <v>41</v>
      </c>
      <c r="S28" s="10" t="s">
        <v>40</v>
      </c>
      <c r="T28" s="10" t="s">
        <v>41</v>
      </c>
      <c r="U28" s="10" t="s">
        <v>40</v>
      </c>
      <c r="V28" s="10" t="s">
        <v>41</v>
      </c>
    </row>
    <row r="29" spans="1:22" x14ac:dyDescent="0.4">
      <c r="A29" s="11">
        <v>0.25</v>
      </c>
      <c r="B29" s="12">
        <v>5.3777199999999997E-2</v>
      </c>
      <c r="C29" s="11">
        <v>2.7799999999999999E-3</v>
      </c>
      <c r="D29" s="12">
        <v>3.6898E-2</v>
      </c>
      <c r="E29" s="11">
        <v>2.7799999999999999E-3</v>
      </c>
      <c r="F29" s="12">
        <v>-1.2999999999999999E-4</v>
      </c>
      <c r="G29" s="11">
        <v>2.7799999999999999E-3</v>
      </c>
      <c r="H29" s="12">
        <v>4.6833E-2</v>
      </c>
      <c r="I29" s="11">
        <v>2.7799999999999999E-3</v>
      </c>
      <c r="J29" s="12">
        <v>3.9539999999999999E-2</v>
      </c>
      <c r="M29" s="11">
        <v>0.25</v>
      </c>
      <c r="N29" s="12">
        <v>5.3777209999999999E-2</v>
      </c>
      <c r="O29" s="11">
        <v>2.7799999999999999E-3</v>
      </c>
      <c r="P29" s="12">
        <v>3.6898E-2</v>
      </c>
      <c r="Q29" s="11">
        <v>2.7799999999999999E-3</v>
      </c>
      <c r="R29" s="12">
        <v>-1.2999999999999999E-4</v>
      </c>
      <c r="S29" s="11">
        <v>2.7799999999999999E-3</v>
      </c>
      <c r="T29" s="12">
        <v>4.6833E-2</v>
      </c>
      <c r="U29" s="11">
        <v>2.7799999999999999E-3</v>
      </c>
      <c r="V29" s="12">
        <v>3.9539999999999999E-2</v>
      </c>
    </row>
    <row r="30" spans="1:22" x14ac:dyDescent="0.4">
      <c r="A30" s="13">
        <v>0.5</v>
      </c>
      <c r="B30" s="14">
        <v>5.1838870000000002E-2</v>
      </c>
      <c r="C30" s="13">
        <v>0.25</v>
      </c>
      <c r="D30" s="14">
        <v>3.8102999999999998E-2</v>
      </c>
      <c r="E30" s="13">
        <v>0.25</v>
      </c>
      <c r="F30" s="14">
        <v>-8.6000000000000003E-5</v>
      </c>
      <c r="G30" s="13">
        <v>0.25</v>
      </c>
      <c r="H30" s="14">
        <v>5.2346999999999998E-2</v>
      </c>
      <c r="I30" s="13">
        <v>0.25</v>
      </c>
      <c r="J30" s="14">
        <v>3.9675000000000002E-2</v>
      </c>
      <c r="M30" s="13">
        <v>0.5</v>
      </c>
      <c r="N30" s="14">
        <v>5.1838871000000002E-2</v>
      </c>
      <c r="O30" s="13">
        <v>0.25</v>
      </c>
      <c r="P30" s="14">
        <v>3.8102999999999998E-2</v>
      </c>
      <c r="Q30" s="13">
        <v>0.25</v>
      </c>
      <c r="R30" s="14">
        <v>-8.6000000000000003E-5</v>
      </c>
      <c r="S30" s="13">
        <v>0.25</v>
      </c>
      <c r="T30" s="14">
        <v>5.2346999999999998E-2</v>
      </c>
      <c r="U30" s="13">
        <v>0.25</v>
      </c>
      <c r="V30" s="14">
        <v>3.9675000000000002E-2</v>
      </c>
    </row>
    <row r="31" spans="1:22" x14ac:dyDescent="0.4">
      <c r="A31" s="13">
        <v>0.75</v>
      </c>
      <c r="B31" s="14">
        <v>4.9656249999999999E-2</v>
      </c>
      <c r="C31" s="13">
        <v>0.5</v>
      </c>
      <c r="D31" s="14">
        <v>3.6880000000000003E-2</v>
      </c>
      <c r="E31" s="13">
        <v>0.5</v>
      </c>
      <c r="F31" s="14">
        <v>1.4999999999999999E-4</v>
      </c>
      <c r="G31" s="13">
        <v>0.5</v>
      </c>
      <c r="H31" s="14">
        <v>4.8201000000000001E-2</v>
      </c>
      <c r="I31" s="13">
        <v>0.5</v>
      </c>
      <c r="J31" s="14">
        <v>3.9237000000000001E-2</v>
      </c>
      <c r="M31" s="13">
        <v>0.75</v>
      </c>
      <c r="N31" s="14">
        <v>4.9656249999999999E-2</v>
      </c>
      <c r="O31" s="13">
        <v>0.5</v>
      </c>
      <c r="P31" s="14">
        <v>3.6880000000000003E-2</v>
      </c>
      <c r="Q31" s="13">
        <v>0.5</v>
      </c>
      <c r="R31" s="14">
        <v>1.4999999999999999E-4</v>
      </c>
      <c r="S31" s="13">
        <v>0.5</v>
      </c>
      <c r="T31" s="14">
        <v>4.8201000000000001E-2</v>
      </c>
      <c r="U31" s="13">
        <v>0.5</v>
      </c>
      <c r="V31" s="14">
        <v>3.9237000000000001E-2</v>
      </c>
    </row>
    <row r="32" spans="1:22" x14ac:dyDescent="0.4">
      <c r="A32" s="13">
        <v>1</v>
      </c>
      <c r="B32" s="14">
        <v>4.75427E-2</v>
      </c>
      <c r="C32" s="13">
        <v>0.75</v>
      </c>
      <c r="D32" s="14">
        <v>3.6066000000000001E-2</v>
      </c>
      <c r="E32" s="13">
        <v>0.75</v>
      </c>
      <c r="F32" s="14">
        <v>4.17E-4</v>
      </c>
      <c r="G32" s="13">
        <v>0.75</v>
      </c>
      <c r="H32" s="14">
        <v>4.5963999999999998E-2</v>
      </c>
      <c r="I32" s="13">
        <v>0.75</v>
      </c>
      <c r="J32" s="14">
        <v>3.6720999999999997E-2</v>
      </c>
      <c r="M32" s="13">
        <v>1</v>
      </c>
      <c r="N32" s="14">
        <v>4.75427E-2</v>
      </c>
      <c r="O32" s="13">
        <v>0.75</v>
      </c>
      <c r="P32" s="14">
        <v>3.6066000000000001E-2</v>
      </c>
      <c r="Q32" s="13">
        <v>0.75</v>
      </c>
      <c r="R32" s="14">
        <v>4.17E-4</v>
      </c>
      <c r="S32" s="13">
        <v>0.75</v>
      </c>
      <c r="T32" s="14">
        <v>4.5963999999999998E-2</v>
      </c>
      <c r="U32" s="13">
        <v>0.75</v>
      </c>
      <c r="V32" s="14">
        <v>3.6720999999999997E-2</v>
      </c>
    </row>
    <row r="33" spans="1:22" x14ac:dyDescent="0.4">
      <c r="A33" s="13">
        <v>1.5</v>
      </c>
      <c r="B33" s="14">
        <v>4.3687030000000002E-2</v>
      </c>
      <c r="C33" s="13">
        <v>1</v>
      </c>
      <c r="D33" s="14">
        <v>3.5160999999999998E-2</v>
      </c>
      <c r="E33" s="13">
        <v>1</v>
      </c>
      <c r="F33" s="14">
        <v>6.5600000000000001E-4</v>
      </c>
      <c r="G33" s="13">
        <v>1</v>
      </c>
      <c r="H33" s="14">
        <v>4.3723999999999999E-2</v>
      </c>
      <c r="I33" s="13">
        <v>1</v>
      </c>
      <c r="J33" s="14">
        <v>3.4181000000000003E-2</v>
      </c>
      <c r="M33" s="13">
        <v>1.5</v>
      </c>
      <c r="N33" s="14">
        <v>4.3687030000000002E-2</v>
      </c>
      <c r="O33" s="13">
        <v>1</v>
      </c>
      <c r="P33" s="14">
        <v>3.5160999999999998E-2</v>
      </c>
      <c r="Q33" s="13">
        <v>1</v>
      </c>
      <c r="R33" s="14">
        <v>6.5600000000000001E-4</v>
      </c>
      <c r="S33" s="13">
        <v>1</v>
      </c>
      <c r="T33" s="14">
        <v>4.3723999999999999E-2</v>
      </c>
      <c r="U33" s="13">
        <v>1</v>
      </c>
      <c r="V33" s="14">
        <v>3.4181000000000003E-2</v>
      </c>
    </row>
    <row r="34" spans="1:22" x14ac:dyDescent="0.4">
      <c r="A34" s="13">
        <v>2</v>
      </c>
      <c r="B34" s="14">
        <v>4.0688349999999998E-2</v>
      </c>
      <c r="C34" s="13">
        <v>1.25</v>
      </c>
      <c r="D34" s="14">
        <v>4.428E-2</v>
      </c>
      <c r="E34" s="13">
        <v>1.25</v>
      </c>
      <c r="F34" s="14">
        <v>9.1799999999999998E-4</v>
      </c>
      <c r="G34" s="13">
        <v>1.25</v>
      </c>
      <c r="H34" s="14">
        <v>4.1859E-2</v>
      </c>
      <c r="I34" s="13">
        <v>1.25</v>
      </c>
      <c r="J34" s="14">
        <v>3.2046999999999999E-2</v>
      </c>
      <c r="M34" s="13">
        <v>2</v>
      </c>
      <c r="N34" s="14">
        <v>4.0688349999999998E-2</v>
      </c>
      <c r="O34" s="13">
        <v>1.25</v>
      </c>
      <c r="P34" s="14">
        <v>4.428E-2</v>
      </c>
      <c r="Q34" s="13">
        <v>1.25</v>
      </c>
      <c r="R34" s="14">
        <v>9.1799999999999998E-4</v>
      </c>
      <c r="S34" s="13">
        <v>1.25</v>
      </c>
      <c r="T34" s="14">
        <v>4.1859E-2</v>
      </c>
      <c r="U34" s="13">
        <v>1.25</v>
      </c>
      <c r="V34" s="14">
        <v>3.2046999999999999E-2</v>
      </c>
    </row>
    <row r="35" spans="1:22" x14ac:dyDescent="0.4">
      <c r="A35" s="13">
        <v>2.5</v>
      </c>
      <c r="B35" s="14">
        <v>3.8692520000000001E-2</v>
      </c>
      <c r="C35" s="13">
        <v>1.5</v>
      </c>
      <c r="D35" s="14">
        <v>3.3697999999999999E-2</v>
      </c>
      <c r="E35" s="13">
        <v>1.5</v>
      </c>
      <c r="F35" s="14">
        <v>1.237E-3</v>
      </c>
      <c r="G35" s="13">
        <v>1.5</v>
      </c>
      <c r="H35" s="14">
        <v>4.0389000000000001E-2</v>
      </c>
      <c r="I35" s="13">
        <v>1.5</v>
      </c>
      <c r="J35" s="14">
        <v>3.0263000000000002E-2</v>
      </c>
      <c r="M35" s="13">
        <v>2.5</v>
      </c>
      <c r="N35" s="14">
        <v>3.8692520000000001E-2</v>
      </c>
      <c r="O35" s="13">
        <v>1.5</v>
      </c>
      <c r="P35" s="14">
        <v>3.3697999999999999E-2</v>
      </c>
      <c r="Q35" s="13">
        <v>1.5</v>
      </c>
      <c r="R35" s="14">
        <v>1.237E-3</v>
      </c>
      <c r="S35" s="13">
        <v>1.5</v>
      </c>
      <c r="T35" s="14">
        <v>4.0389000000000001E-2</v>
      </c>
      <c r="U35" s="13">
        <v>1.5</v>
      </c>
      <c r="V35" s="14">
        <v>3.0263000000000002E-2</v>
      </c>
    </row>
    <row r="36" spans="1:22" x14ac:dyDescent="0.4">
      <c r="A36" s="13">
        <v>3</v>
      </c>
      <c r="B36" s="14">
        <v>3.7335739999999999E-2</v>
      </c>
      <c r="C36" s="13">
        <v>1.75</v>
      </c>
      <c r="D36" s="14">
        <v>3.2965000000000001E-2</v>
      </c>
      <c r="E36" s="13">
        <v>1.75</v>
      </c>
      <c r="F36" s="14">
        <v>1.519E-3</v>
      </c>
      <c r="G36" s="13">
        <v>1.75</v>
      </c>
      <c r="H36" s="14">
        <v>3.9177999999999998E-2</v>
      </c>
      <c r="I36" s="13">
        <v>1.75</v>
      </c>
      <c r="J36" s="14">
        <v>2.8788000000000001E-2</v>
      </c>
      <c r="M36" s="13">
        <v>3</v>
      </c>
      <c r="N36" s="14">
        <v>3.7335739999999999E-2</v>
      </c>
      <c r="O36" s="13">
        <v>1.75</v>
      </c>
      <c r="P36" s="14">
        <v>3.2965000000000001E-2</v>
      </c>
      <c r="Q36" s="13">
        <v>1.75</v>
      </c>
      <c r="R36" s="14">
        <v>1.519E-3</v>
      </c>
      <c r="S36" s="13">
        <v>1.75</v>
      </c>
      <c r="T36" s="14">
        <v>3.9177999999999998E-2</v>
      </c>
      <c r="U36" s="13">
        <v>1.75</v>
      </c>
      <c r="V36" s="14">
        <v>2.8788000000000001E-2</v>
      </c>
    </row>
    <row r="37" spans="1:22" x14ac:dyDescent="0.4">
      <c r="A37" s="13">
        <v>4</v>
      </c>
      <c r="B37" s="14">
        <v>3.5652450000000002E-2</v>
      </c>
      <c r="C37" s="13">
        <v>2</v>
      </c>
      <c r="D37" s="14">
        <v>3.2226999999999999E-2</v>
      </c>
      <c r="E37" s="13">
        <v>2</v>
      </c>
      <c r="F37" s="14">
        <v>1.771E-3</v>
      </c>
      <c r="G37" s="13">
        <v>2</v>
      </c>
      <c r="H37" s="14">
        <v>3.8158999999999998E-2</v>
      </c>
      <c r="I37" s="13">
        <v>2</v>
      </c>
      <c r="J37" s="14">
        <v>2.7601000000000001E-2</v>
      </c>
      <c r="M37" s="13">
        <v>4</v>
      </c>
      <c r="N37" s="14">
        <v>3.5652450000000002E-2</v>
      </c>
      <c r="O37" s="13">
        <v>2</v>
      </c>
      <c r="P37" s="14">
        <v>3.2226999999999999E-2</v>
      </c>
      <c r="Q37" s="13">
        <v>2</v>
      </c>
      <c r="R37" s="14">
        <v>1.771E-3</v>
      </c>
      <c r="S37" s="13">
        <v>2</v>
      </c>
      <c r="T37" s="14">
        <v>3.8158999999999998E-2</v>
      </c>
      <c r="U37" s="13">
        <v>2</v>
      </c>
      <c r="V37" s="14">
        <v>2.7601000000000001E-2</v>
      </c>
    </row>
    <row r="38" spans="1:22" x14ac:dyDescent="0.4">
      <c r="A38" s="13">
        <v>5</v>
      </c>
      <c r="B38" s="14">
        <v>3.475905E-2</v>
      </c>
      <c r="C38" s="13">
        <v>2.25</v>
      </c>
      <c r="D38" s="14">
        <v>3.1843999999999997E-2</v>
      </c>
      <c r="E38" s="13">
        <v>2.25</v>
      </c>
      <c r="F38" s="14">
        <v>2.0070000000000001E-3</v>
      </c>
      <c r="G38" s="13">
        <v>2.25</v>
      </c>
      <c r="H38" s="14">
        <v>3.7294000000000001E-2</v>
      </c>
      <c r="I38" s="13">
        <v>2.25</v>
      </c>
      <c r="J38" s="14">
        <v>2.6681E-2</v>
      </c>
      <c r="M38" s="13">
        <v>5</v>
      </c>
      <c r="N38" s="14">
        <v>3.475905E-2</v>
      </c>
      <c r="O38" s="13">
        <v>2.25</v>
      </c>
      <c r="P38" s="14">
        <v>3.1843999999999997E-2</v>
      </c>
      <c r="Q38" s="13">
        <v>2.25</v>
      </c>
      <c r="R38" s="14">
        <v>2.0070000000000001E-3</v>
      </c>
      <c r="S38" s="13">
        <v>2.25</v>
      </c>
      <c r="T38" s="14">
        <v>3.7294000000000001E-2</v>
      </c>
      <c r="U38" s="13">
        <v>2.25</v>
      </c>
      <c r="V38" s="14">
        <v>2.6681E-2</v>
      </c>
    </row>
    <row r="39" spans="1:22" x14ac:dyDescent="0.4">
      <c r="A39" s="13">
        <v>7</v>
      </c>
      <c r="B39" s="14">
        <v>3.4076500000000003E-2</v>
      </c>
      <c r="C39" s="13">
        <v>2.5</v>
      </c>
      <c r="D39" s="14">
        <v>3.1465E-2</v>
      </c>
      <c r="E39" s="13">
        <v>2.5</v>
      </c>
      <c r="F39" s="14">
        <v>2.2300000000000002E-3</v>
      </c>
      <c r="G39" s="13">
        <v>2.5</v>
      </c>
      <c r="H39" s="14">
        <v>3.6555999999999998E-2</v>
      </c>
      <c r="I39" s="13">
        <v>2.5</v>
      </c>
      <c r="J39" s="14">
        <v>2.5961000000000001E-2</v>
      </c>
      <c r="M39" s="13">
        <v>7</v>
      </c>
      <c r="N39" s="14">
        <v>3.4076500000000003E-2</v>
      </c>
      <c r="O39" s="13">
        <v>2.5</v>
      </c>
      <c r="P39" s="14">
        <v>3.1465E-2</v>
      </c>
      <c r="Q39" s="13">
        <v>2.5</v>
      </c>
      <c r="R39" s="14">
        <v>2.2300000000000002E-3</v>
      </c>
      <c r="S39" s="13">
        <v>2.5</v>
      </c>
      <c r="T39" s="14">
        <v>3.6555999999999998E-2</v>
      </c>
      <c r="U39" s="13">
        <v>2.5</v>
      </c>
      <c r="V39" s="14">
        <v>2.5961000000000001E-2</v>
      </c>
    </row>
    <row r="40" spans="1:22" x14ac:dyDescent="0.4">
      <c r="A40" s="13">
        <v>10</v>
      </c>
      <c r="B40" s="14">
        <v>3.3989569999999997E-2</v>
      </c>
      <c r="C40" s="13">
        <v>2.75</v>
      </c>
      <c r="D40" s="14">
        <v>3.1085999999999999E-2</v>
      </c>
      <c r="E40" s="13">
        <v>2.75</v>
      </c>
      <c r="F40" s="14">
        <v>2.4450000000000001E-3</v>
      </c>
      <c r="G40" s="13">
        <v>2.75</v>
      </c>
      <c r="H40" s="14">
        <v>3.5929000000000003E-2</v>
      </c>
      <c r="I40" s="13">
        <v>2.75</v>
      </c>
      <c r="J40" s="14">
        <v>2.5387E-2</v>
      </c>
      <c r="M40" s="13">
        <v>10</v>
      </c>
      <c r="N40" s="14">
        <v>3.3989569999999997E-2</v>
      </c>
      <c r="O40" s="13">
        <v>2.75</v>
      </c>
      <c r="P40" s="14">
        <v>3.1085999999999999E-2</v>
      </c>
      <c r="Q40" s="13">
        <v>2.75</v>
      </c>
      <c r="R40" s="14">
        <v>2.4450000000000001E-3</v>
      </c>
      <c r="S40" s="13">
        <v>2.75</v>
      </c>
      <c r="T40" s="14">
        <v>3.5929000000000003E-2</v>
      </c>
      <c r="U40" s="13">
        <v>2.75</v>
      </c>
      <c r="V40" s="14">
        <v>2.5387E-2</v>
      </c>
    </row>
    <row r="41" spans="1:22" x14ac:dyDescent="0.4">
      <c r="A41" s="13">
        <v>15</v>
      </c>
      <c r="B41" s="14">
        <v>3.4383999999999998E-2</v>
      </c>
      <c r="C41" s="13">
        <v>3</v>
      </c>
      <c r="D41" s="14">
        <v>3.0703999999999999E-2</v>
      </c>
      <c r="E41" s="13">
        <v>3</v>
      </c>
      <c r="F41" s="14">
        <v>2.6519999999999998E-3</v>
      </c>
      <c r="G41" s="13">
        <v>3</v>
      </c>
      <c r="H41" s="14">
        <v>3.5401000000000002E-2</v>
      </c>
      <c r="I41" s="13">
        <v>3</v>
      </c>
      <c r="J41" s="14">
        <v>2.4920999999999999E-2</v>
      </c>
      <c r="M41" s="13">
        <v>15</v>
      </c>
      <c r="N41" s="14">
        <v>3.4383999999999998E-2</v>
      </c>
      <c r="O41" s="13">
        <v>3</v>
      </c>
      <c r="P41" s="14">
        <v>3.0703999999999999E-2</v>
      </c>
      <c r="Q41" s="13">
        <v>3</v>
      </c>
      <c r="R41" s="14">
        <v>2.6519999999999998E-3</v>
      </c>
      <c r="S41" s="13">
        <v>3</v>
      </c>
      <c r="T41" s="14">
        <v>3.5401000000000002E-2</v>
      </c>
      <c r="U41" s="13">
        <v>3</v>
      </c>
      <c r="V41" s="14">
        <v>2.4920999999999999E-2</v>
      </c>
    </row>
    <row r="42" spans="1:22" x14ac:dyDescent="0.4">
      <c r="A42" s="13">
        <v>20</v>
      </c>
      <c r="B42" s="14">
        <v>3.4113089999999999E-2</v>
      </c>
      <c r="C42" s="13">
        <v>3.25</v>
      </c>
      <c r="D42" s="14">
        <v>3.0589000000000002E-2</v>
      </c>
      <c r="E42" s="13">
        <v>3.25</v>
      </c>
      <c r="F42" s="14">
        <v>2.8530000000000001E-3</v>
      </c>
      <c r="G42" s="13">
        <v>3.25</v>
      </c>
      <c r="H42" s="14">
        <v>3.4963000000000001E-2</v>
      </c>
      <c r="I42" s="13">
        <v>3.25</v>
      </c>
      <c r="J42" s="14">
        <v>2.4538999999999998E-2</v>
      </c>
      <c r="M42" s="13">
        <v>20</v>
      </c>
      <c r="N42" s="14">
        <v>3.4113089999999999E-2</v>
      </c>
      <c r="O42" s="13">
        <v>3.25</v>
      </c>
      <c r="P42" s="14">
        <v>3.0589000000000002E-2</v>
      </c>
      <c r="Q42" s="13">
        <v>3.25</v>
      </c>
      <c r="R42" s="14">
        <v>2.8530000000000001E-3</v>
      </c>
      <c r="S42" s="13">
        <v>3.25</v>
      </c>
      <c r="T42" s="14">
        <v>3.4963000000000001E-2</v>
      </c>
      <c r="U42" s="13">
        <v>3.25</v>
      </c>
      <c r="V42" s="14">
        <v>2.4538999999999998E-2</v>
      </c>
    </row>
    <row r="43" spans="1:22" x14ac:dyDescent="0.4">
      <c r="A43" s="13">
        <v>30</v>
      </c>
      <c r="B43" s="14">
        <v>3.1739000000000003E-2</v>
      </c>
      <c r="C43" s="13">
        <v>3.5</v>
      </c>
      <c r="D43" s="14">
        <v>3.0478000000000002E-2</v>
      </c>
      <c r="E43" s="13">
        <v>3.5</v>
      </c>
      <c r="F43" s="14">
        <v>3.0500000000000002E-3</v>
      </c>
      <c r="G43" s="13">
        <v>3.5</v>
      </c>
      <c r="H43" s="14">
        <v>3.4597999999999997E-2</v>
      </c>
      <c r="I43" s="13">
        <v>3.5</v>
      </c>
      <c r="J43" s="14">
        <v>2.4223000000000001E-2</v>
      </c>
      <c r="M43" s="13">
        <v>30</v>
      </c>
      <c r="N43" s="14">
        <v>3.1739000000000003E-2</v>
      </c>
      <c r="O43" s="13">
        <v>3.5</v>
      </c>
      <c r="P43" s="14">
        <v>3.0478000000000002E-2</v>
      </c>
      <c r="Q43" s="13">
        <v>3.5</v>
      </c>
      <c r="R43" s="14">
        <v>3.0500000000000002E-3</v>
      </c>
      <c r="S43" s="13">
        <v>3.5</v>
      </c>
      <c r="T43" s="14">
        <v>3.4597999999999997E-2</v>
      </c>
      <c r="U43" s="13">
        <v>3.5</v>
      </c>
      <c r="V43" s="14">
        <v>2.4223000000000001E-2</v>
      </c>
    </row>
    <row r="44" spans="1:22" x14ac:dyDescent="0.4">
      <c r="A44" s="13"/>
      <c r="B44" s="14"/>
      <c r="C44" s="13">
        <v>3.75</v>
      </c>
      <c r="D44" s="14">
        <v>3.0366000000000001E-2</v>
      </c>
      <c r="E44" s="13">
        <v>3.75</v>
      </c>
      <c r="F44" s="14">
        <v>3.2450000000000001E-3</v>
      </c>
      <c r="G44" s="13">
        <v>3.75</v>
      </c>
      <c r="H44" s="14">
        <v>3.4292999999999997E-2</v>
      </c>
      <c r="I44" s="13">
        <v>3.75</v>
      </c>
      <c r="J44" s="14">
        <v>2.3961E-2</v>
      </c>
      <c r="M44" s="13"/>
      <c r="N44" s="14"/>
      <c r="O44" s="13">
        <v>3.75</v>
      </c>
      <c r="P44" s="14">
        <v>3.0366000000000001E-2</v>
      </c>
      <c r="Q44" s="13">
        <v>3.75</v>
      </c>
      <c r="R44" s="14">
        <v>3.2450000000000001E-3</v>
      </c>
      <c r="S44" s="13">
        <v>3.75</v>
      </c>
      <c r="T44" s="14">
        <v>3.4292999999999997E-2</v>
      </c>
      <c r="U44" s="13">
        <v>3.75</v>
      </c>
      <c r="V44" s="14">
        <v>2.3961E-2</v>
      </c>
    </row>
    <row r="45" spans="1:22" x14ac:dyDescent="0.4">
      <c r="A45" s="13"/>
      <c r="B45" s="14"/>
      <c r="C45" s="13">
        <v>4</v>
      </c>
      <c r="D45" s="14">
        <v>3.0255000000000001E-2</v>
      </c>
      <c r="E45" s="13">
        <v>4</v>
      </c>
      <c r="F45" s="14">
        <v>3.4420000000000002E-3</v>
      </c>
      <c r="G45" s="13">
        <v>4</v>
      </c>
      <c r="H45" s="14">
        <v>3.4035999999999997E-2</v>
      </c>
      <c r="I45" s="13">
        <v>4</v>
      </c>
      <c r="J45" s="14">
        <v>2.3741999999999999E-2</v>
      </c>
      <c r="M45" s="13"/>
      <c r="N45" s="14"/>
      <c r="O45" s="13">
        <v>4</v>
      </c>
      <c r="P45" s="14">
        <v>3.0255000000000001E-2</v>
      </c>
      <c r="Q45" s="13">
        <v>4</v>
      </c>
      <c r="R45" s="14">
        <v>3.4420000000000002E-3</v>
      </c>
      <c r="S45" s="13">
        <v>4</v>
      </c>
      <c r="T45" s="14">
        <v>3.4035999999999997E-2</v>
      </c>
      <c r="U45" s="13">
        <v>4</v>
      </c>
      <c r="V45" s="14">
        <v>2.3741999999999999E-2</v>
      </c>
    </row>
    <row r="46" spans="1:22" x14ac:dyDescent="0.4">
      <c r="A46" s="13"/>
      <c r="B46" s="14"/>
      <c r="C46" s="13">
        <v>4.25</v>
      </c>
      <c r="D46" s="14">
        <v>3.0165999999999998E-2</v>
      </c>
      <c r="E46" s="13">
        <v>4.25</v>
      </c>
      <c r="F46" s="14">
        <v>3.6389999999999999E-3</v>
      </c>
      <c r="G46" s="13">
        <v>4.25</v>
      </c>
      <c r="H46" s="14">
        <v>3.3820000000000003E-2</v>
      </c>
      <c r="I46" s="13">
        <v>4.25</v>
      </c>
      <c r="J46" s="14">
        <v>2.3560000000000001E-2</v>
      </c>
      <c r="M46" s="13"/>
      <c r="N46" s="14"/>
      <c r="O46" s="13">
        <v>4.25</v>
      </c>
      <c r="P46" s="14">
        <v>3.0165999999999998E-2</v>
      </c>
      <c r="Q46" s="13">
        <v>4.25</v>
      </c>
      <c r="R46" s="14">
        <v>3.6389999999999999E-3</v>
      </c>
      <c r="S46" s="13">
        <v>4.25</v>
      </c>
      <c r="T46" s="14">
        <v>3.3820000000000003E-2</v>
      </c>
      <c r="U46" s="13">
        <v>4.25</v>
      </c>
      <c r="V46" s="14">
        <v>2.3560000000000001E-2</v>
      </c>
    </row>
    <row r="47" spans="1:22" x14ac:dyDescent="0.4">
      <c r="A47" s="13"/>
      <c r="B47" s="14"/>
      <c r="C47" s="13">
        <v>4.5</v>
      </c>
      <c r="D47" s="14">
        <v>3.0079000000000002E-2</v>
      </c>
      <c r="E47" s="13">
        <v>4.5</v>
      </c>
      <c r="F47" s="14">
        <v>3.839E-3</v>
      </c>
      <c r="G47" s="13">
        <v>4.5</v>
      </c>
      <c r="H47" s="14">
        <v>3.3647999999999997E-2</v>
      </c>
      <c r="I47" s="13">
        <v>4.5</v>
      </c>
      <c r="J47" s="14">
        <v>2.3411999999999999E-2</v>
      </c>
      <c r="M47" s="13"/>
      <c r="N47" s="14"/>
      <c r="O47" s="13">
        <v>4.5</v>
      </c>
      <c r="P47" s="14">
        <v>3.0079000000000002E-2</v>
      </c>
      <c r="Q47" s="13">
        <v>4.5</v>
      </c>
      <c r="R47" s="14">
        <v>3.839E-3</v>
      </c>
      <c r="S47" s="13">
        <v>4.5</v>
      </c>
      <c r="T47" s="14">
        <v>3.3647999999999997E-2</v>
      </c>
      <c r="U47" s="13">
        <v>4.5</v>
      </c>
      <c r="V47" s="14">
        <v>2.3411999999999999E-2</v>
      </c>
    </row>
    <row r="48" spans="1:22" x14ac:dyDescent="0.4">
      <c r="A48" s="13"/>
      <c r="B48" s="14"/>
      <c r="C48" s="13">
        <v>4.75</v>
      </c>
      <c r="D48" s="14">
        <v>2.9991E-2</v>
      </c>
      <c r="E48" s="13">
        <v>4.75</v>
      </c>
      <c r="F48" s="14">
        <v>4.0400000000000002E-3</v>
      </c>
      <c r="G48" s="13">
        <v>4.75</v>
      </c>
      <c r="H48" s="14">
        <v>3.5220000000000001E-2</v>
      </c>
      <c r="I48" s="13">
        <v>4.75</v>
      </c>
      <c r="J48" s="14">
        <v>2.3293000000000001E-2</v>
      </c>
      <c r="M48" s="13"/>
      <c r="N48" s="14"/>
      <c r="O48" s="13">
        <v>4.75</v>
      </c>
      <c r="P48" s="14">
        <v>2.9991E-2</v>
      </c>
      <c r="Q48" s="13">
        <v>4.75</v>
      </c>
      <c r="R48" s="14">
        <v>4.0400000000000002E-3</v>
      </c>
      <c r="S48" s="13">
        <v>4.75</v>
      </c>
      <c r="T48" s="14">
        <v>3.5220000000000001E-2</v>
      </c>
      <c r="U48" s="13">
        <v>4.75</v>
      </c>
      <c r="V48" s="14">
        <v>2.3293000000000001E-2</v>
      </c>
    </row>
    <row r="49" spans="1:22" x14ac:dyDescent="0.4">
      <c r="A49" s="13"/>
      <c r="B49" s="14"/>
      <c r="C49" s="13">
        <v>5</v>
      </c>
      <c r="D49" s="14">
        <v>2.9902999999999999E-2</v>
      </c>
      <c r="E49" s="13">
        <v>5</v>
      </c>
      <c r="F49" s="14">
        <v>4.2430000000000002E-3</v>
      </c>
      <c r="G49" s="13">
        <v>5</v>
      </c>
      <c r="H49" s="14">
        <v>3.3444000000000002E-2</v>
      </c>
      <c r="I49" s="13">
        <v>5</v>
      </c>
      <c r="J49" s="14">
        <v>2.3203999999999999E-2</v>
      </c>
      <c r="M49" s="13"/>
      <c r="N49" s="14"/>
      <c r="O49" s="13">
        <v>5</v>
      </c>
      <c r="P49" s="14">
        <v>2.9902999999999999E-2</v>
      </c>
      <c r="Q49" s="13">
        <v>5</v>
      </c>
      <c r="R49" s="14">
        <v>4.2430000000000002E-3</v>
      </c>
      <c r="S49" s="13">
        <v>5</v>
      </c>
      <c r="T49" s="14">
        <v>3.3444000000000002E-2</v>
      </c>
      <c r="U49" s="13">
        <v>5</v>
      </c>
      <c r="V49" s="14">
        <v>2.3203999999999999E-2</v>
      </c>
    </row>
    <row r="50" spans="1:22" x14ac:dyDescent="0.4">
      <c r="A50" s="13"/>
      <c r="B50" s="14"/>
      <c r="C50" s="13">
        <v>5.25</v>
      </c>
      <c r="D50" s="14">
        <v>2.9864999999999999E-2</v>
      </c>
      <c r="E50" s="13">
        <v>5.25</v>
      </c>
      <c r="F50" s="14">
        <v>4.4470000000000004E-3</v>
      </c>
      <c r="G50" s="13">
        <v>5.25</v>
      </c>
      <c r="H50" s="14">
        <v>3.3412999999999998E-2</v>
      </c>
      <c r="I50" s="13">
        <v>5.25</v>
      </c>
      <c r="J50" s="14">
        <v>2.3140000000000001E-2</v>
      </c>
      <c r="M50" s="13"/>
      <c r="N50" s="14"/>
      <c r="O50" s="13">
        <v>5.25</v>
      </c>
      <c r="P50" s="14">
        <v>2.9864999999999999E-2</v>
      </c>
      <c r="Q50" s="13">
        <v>5.25</v>
      </c>
      <c r="R50" s="14">
        <v>4.4470000000000004E-3</v>
      </c>
      <c r="S50" s="13">
        <v>5.25</v>
      </c>
      <c r="T50" s="14">
        <v>3.3412999999999998E-2</v>
      </c>
      <c r="U50" s="13">
        <v>5.25</v>
      </c>
      <c r="V50" s="14">
        <v>2.3140000000000001E-2</v>
      </c>
    </row>
    <row r="51" spans="1:22" x14ac:dyDescent="0.4">
      <c r="A51" s="13"/>
      <c r="B51" s="14"/>
      <c r="C51" s="13">
        <v>5.5</v>
      </c>
      <c r="D51" s="14">
        <v>2.9853999999999999E-2</v>
      </c>
      <c r="E51" s="13">
        <v>5.5</v>
      </c>
      <c r="F51" s="14">
        <v>4.653E-3</v>
      </c>
      <c r="G51" s="13">
        <v>5.5</v>
      </c>
      <c r="H51" s="14">
        <v>3.4139999999999997E-2</v>
      </c>
      <c r="I51" s="13">
        <v>5.5</v>
      </c>
      <c r="J51" s="14">
        <v>2.3098E-2</v>
      </c>
      <c r="M51" s="13"/>
      <c r="N51" s="14"/>
      <c r="O51" s="13">
        <v>5.5</v>
      </c>
      <c r="P51" s="14">
        <v>2.9853999999999999E-2</v>
      </c>
      <c r="Q51" s="13">
        <v>5.5</v>
      </c>
      <c r="R51" s="14">
        <v>4.653E-3</v>
      </c>
      <c r="S51" s="13">
        <v>5.5</v>
      </c>
      <c r="T51" s="14">
        <v>3.4139999999999997E-2</v>
      </c>
      <c r="U51" s="13">
        <v>5.5</v>
      </c>
      <c r="V51" s="14">
        <v>2.3098E-2</v>
      </c>
    </row>
    <row r="52" spans="1:22" x14ac:dyDescent="0.4">
      <c r="A52" s="13"/>
      <c r="B52" s="14"/>
      <c r="C52" s="13">
        <v>5.75</v>
      </c>
      <c r="D52" s="14">
        <v>2.9832999999999998E-2</v>
      </c>
      <c r="E52" s="13">
        <v>5.75</v>
      </c>
      <c r="F52" s="14">
        <v>4.862E-3</v>
      </c>
      <c r="G52" s="13">
        <v>5.75</v>
      </c>
      <c r="H52" s="14">
        <v>3.3430000000000001E-2</v>
      </c>
      <c r="I52" s="13">
        <v>5.75</v>
      </c>
      <c r="J52" s="14">
        <v>2.3071000000000001E-2</v>
      </c>
      <c r="M52" s="13"/>
      <c r="N52" s="14"/>
      <c r="O52" s="13">
        <v>5.75</v>
      </c>
      <c r="P52" s="14">
        <v>2.9832999999999998E-2</v>
      </c>
      <c r="Q52" s="13">
        <v>5.75</v>
      </c>
      <c r="R52" s="14">
        <v>4.862E-3</v>
      </c>
      <c r="S52" s="13">
        <v>5.75</v>
      </c>
      <c r="T52" s="14">
        <v>3.3430000000000001E-2</v>
      </c>
      <c r="U52" s="13">
        <v>5.75</v>
      </c>
      <c r="V52" s="14">
        <v>2.3071000000000001E-2</v>
      </c>
    </row>
    <row r="53" spans="1:22" x14ac:dyDescent="0.4">
      <c r="A53" s="13"/>
      <c r="B53" s="14"/>
      <c r="C53" s="13">
        <v>6</v>
      </c>
      <c r="D53" s="14">
        <v>2.9807E-2</v>
      </c>
      <c r="E53" s="13">
        <v>6</v>
      </c>
      <c r="F53" s="14">
        <v>5.0740000000000004E-3</v>
      </c>
      <c r="G53" s="13">
        <v>6</v>
      </c>
      <c r="H53" s="14">
        <v>3.3445999999999997E-2</v>
      </c>
      <c r="I53" s="13">
        <v>6</v>
      </c>
      <c r="J53" s="14">
        <v>2.3054000000000002E-2</v>
      </c>
      <c r="M53" s="13"/>
      <c r="N53" s="14"/>
      <c r="O53" s="13">
        <v>6</v>
      </c>
      <c r="P53" s="14">
        <v>2.9807E-2</v>
      </c>
      <c r="Q53" s="13">
        <v>6</v>
      </c>
      <c r="R53" s="14">
        <v>5.0740000000000004E-3</v>
      </c>
      <c r="S53" s="13">
        <v>6</v>
      </c>
      <c r="T53" s="14">
        <v>3.3445999999999997E-2</v>
      </c>
      <c r="U53" s="13">
        <v>6</v>
      </c>
      <c r="V53" s="14">
        <v>2.3054000000000002E-2</v>
      </c>
    </row>
    <row r="54" spans="1:22" x14ac:dyDescent="0.4">
      <c r="A54" s="13"/>
      <c r="B54" s="14"/>
      <c r="C54" s="13">
        <v>6.25</v>
      </c>
      <c r="D54" s="14">
        <v>2.9783E-2</v>
      </c>
      <c r="E54" s="13">
        <v>6.25</v>
      </c>
      <c r="F54" s="14">
        <v>5.2890000000000003E-3</v>
      </c>
      <c r="G54" s="13">
        <v>6.25</v>
      </c>
      <c r="H54" s="14">
        <v>3.3453999999999998E-2</v>
      </c>
      <c r="I54" s="13">
        <v>6.25</v>
      </c>
      <c r="J54" s="14">
        <v>2.3045E-2</v>
      </c>
      <c r="M54" s="13"/>
      <c r="N54" s="14"/>
      <c r="O54" s="13">
        <v>6.25</v>
      </c>
      <c r="P54" s="14">
        <v>2.9783E-2</v>
      </c>
      <c r="Q54" s="13">
        <v>6.25</v>
      </c>
      <c r="R54" s="14">
        <v>5.2890000000000003E-3</v>
      </c>
      <c r="S54" s="13">
        <v>6.25</v>
      </c>
      <c r="T54" s="14">
        <v>3.3453999999999998E-2</v>
      </c>
      <c r="U54" s="13">
        <v>6.25</v>
      </c>
      <c r="V54" s="14">
        <v>2.3045E-2</v>
      </c>
    </row>
    <row r="55" spans="1:22" x14ac:dyDescent="0.4">
      <c r="A55" s="13"/>
      <c r="B55" s="14"/>
      <c r="C55" s="13">
        <v>6.5</v>
      </c>
      <c r="D55" s="14">
        <v>2.9759000000000001E-2</v>
      </c>
      <c r="E55" s="13">
        <v>6.5</v>
      </c>
      <c r="F55" s="14">
        <v>5.5050000000000003E-3</v>
      </c>
      <c r="G55" s="13">
        <v>6.5</v>
      </c>
      <c r="H55" s="14">
        <v>3.4540000000000001E-2</v>
      </c>
      <c r="I55" s="13">
        <v>6.5</v>
      </c>
      <c r="J55" s="14">
        <v>2.3043000000000001E-2</v>
      </c>
      <c r="M55" s="13"/>
      <c r="N55" s="14"/>
      <c r="O55" s="13">
        <v>6.5</v>
      </c>
      <c r="P55" s="14">
        <v>2.9759000000000001E-2</v>
      </c>
      <c r="Q55" s="13">
        <v>6.5</v>
      </c>
      <c r="R55" s="14">
        <v>5.5050000000000003E-3</v>
      </c>
      <c r="S55" s="13">
        <v>6.5</v>
      </c>
      <c r="T55" s="14">
        <v>3.4540000000000001E-2</v>
      </c>
      <c r="U55" s="13">
        <v>6.5</v>
      </c>
      <c r="V55" s="14">
        <v>2.3043000000000001E-2</v>
      </c>
    </row>
    <row r="56" spans="1:22" x14ac:dyDescent="0.4">
      <c r="A56" s="13"/>
      <c r="B56" s="14"/>
      <c r="C56" s="13">
        <v>6.75</v>
      </c>
      <c r="D56" s="14">
        <v>2.9732000000000001E-2</v>
      </c>
      <c r="E56" s="13">
        <v>6.75</v>
      </c>
      <c r="F56" s="14">
        <v>5.7200000000000003E-3</v>
      </c>
      <c r="G56" s="13">
        <v>6.75</v>
      </c>
      <c r="H56" s="14">
        <v>3.3451000000000002E-2</v>
      </c>
      <c r="I56" s="13">
        <v>6.75</v>
      </c>
      <c r="J56" s="14">
        <v>2.3049E-2</v>
      </c>
      <c r="M56" s="13"/>
      <c r="N56" s="14"/>
      <c r="O56" s="13">
        <v>6.75</v>
      </c>
      <c r="P56" s="14">
        <v>2.9732000000000001E-2</v>
      </c>
      <c r="Q56" s="13">
        <v>6.75</v>
      </c>
      <c r="R56" s="14">
        <v>5.7200000000000003E-3</v>
      </c>
      <c r="S56" s="13">
        <v>6.75</v>
      </c>
      <c r="T56" s="14">
        <v>3.3451000000000002E-2</v>
      </c>
      <c r="U56" s="13">
        <v>6.75</v>
      </c>
      <c r="V56" s="14">
        <v>2.3049E-2</v>
      </c>
    </row>
    <row r="57" spans="1:22" x14ac:dyDescent="0.4">
      <c r="A57" s="13"/>
      <c r="B57" s="14"/>
      <c r="C57" s="13">
        <v>7</v>
      </c>
      <c r="D57" s="14">
        <v>2.9711999999999999E-2</v>
      </c>
      <c r="E57" s="13">
        <v>7</v>
      </c>
      <c r="F57" s="14">
        <v>5.9319999999999998E-3</v>
      </c>
      <c r="G57" s="13">
        <v>7</v>
      </c>
      <c r="H57" s="14">
        <v>3.3450000000000001E-2</v>
      </c>
      <c r="I57" s="13">
        <v>7</v>
      </c>
      <c r="J57" s="14">
        <v>2.3061999999999999E-2</v>
      </c>
      <c r="M57" s="13"/>
      <c r="N57" s="14"/>
      <c r="O57" s="13">
        <v>7</v>
      </c>
      <c r="P57" s="14">
        <v>2.9711999999999999E-2</v>
      </c>
      <c r="Q57" s="13">
        <v>7</v>
      </c>
      <c r="R57" s="14">
        <v>5.9319999999999998E-3</v>
      </c>
      <c r="S57" s="13">
        <v>7</v>
      </c>
      <c r="T57" s="14">
        <v>3.3450000000000001E-2</v>
      </c>
      <c r="U57" s="13">
        <v>7</v>
      </c>
      <c r="V57" s="14">
        <v>2.3061999999999999E-2</v>
      </c>
    </row>
    <row r="58" spans="1:22" x14ac:dyDescent="0.4">
      <c r="A58" s="13"/>
      <c r="B58" s="14"/>
      <c r="C58" s="13">
        <v>7.25</v>
      </c>
      <c r="D58" s="14">
        <v>2.9708999999999999E-2</v>
      </c>
      <c r="E58" s="13">
        <v>7.25</v>
      </c>
      <c r="F58" s="14">
        <v>6.1380000000000002E-3</v>
      </c>
      <c r="G58" s="13">
        <v>7.25</v>
      </c>
      <c r="H58" s="14">
        <v>3.3453999999999998E-2</v>
      </c>
      <c r="I58" s="13">
        <v>7.25</v>
      </c>
      <c r="J58" s="14">
        <v>2.3082999999999999E-2</v>
      </c>
      <c r="M58" s="13"/>
      <c r="N58" s="14"/>
      <c r="O58" s="13">
        <v>7.25</v>
      </c>
      <c r="P58" s="14">
        <v>2.9708999999999999E-2</v>
      </c>
      <c r="Q58" s="13">
        <v>7.25</v>
      </c>
      <c r="R58" s="14">
        <v>6.1380000000000002E-3</v>
      </c>
      <c r="S58" s="13">
        <v>7.25</v>
      </c>
      <c r="T58" s="14">
        <v>3.3453999999999998E-2</v>
      </c>
      <c r="U58" s="13">
        <v>7.25</v>
      </c>
      <c r="V58" s="14">
        <v>2.3082999999999999E-2</v>
      </c>
    </row>
    <row r="59" spans="1:22" x14ac:dyDescent="0.4">
      <c r="A59" s="13"/>
      <c r="B59" s="14"/>
      <c r="C59" s="13">
        <v>7.5</v>
      </c>
      <c r="D59" s="14">
        <v>2.9718999999999999E-2</v>
      </c>
      <c r="E59" s="13">
        <v>7.5</v>
      </c>
      <c r="F59" s="14">
        <v>6.339E-3</v>
      </c>
      <c r="G59" s="13">
        <v>7.5</v>
      </c>
      <c r="H59" s="14">
        <v>3.3461999999999999E-2</v>
      </c>
      <c r="I59" s="13">
        <v>7.5</v>
      </c>
      <c r="J59" s="14">
        <v>2.3109000000000001E-2</v>
      </c>
      <c r="M59" s="13"/>
      <c r="N59" s="14"/>
      <c r="O59" s="13">
        <v>7.5</v>
      </c>
      <c r="P59" s="14">
        <v>2.9718999999999999E-2</v>
      </c>
      <c r="Q59" s="13">
        <v>7.5</v>
      </c>
      <c r="R59" s="14">
        <v>6.339E-3</v>
      </c>
      <c r="S59" s="13">
        <v>7.5</v>
      </c>
      <c r="T59" s="14">
        <v>3.3461999999999999E-2</v>
      </c>
      <c r="U59" s="13">
        <v>7.5</v>
      </c>
      <c r="V59" s="14">
        <v>2.3109000000000001E-2</v>
      </c>
    </row>
    <row r="60" spans="1:22" x14ac:dyDescent="0.4">
      <c r="A60" s="13"/>
      <c r="B60" s="14"/>
      <c r="C60" s="13">
        <v>7.75</v>
      </c>
      <c r="D60" s="14">
        <v>2.9737E-2</v>
      </c>
      <c r="E60" s="13">
        <v>7.75</v>
      </c>
      <c r="F60" s="14">
        <v>6.535E-3</v>
      </c>
      <c r="G60" s="13">
        <v>7.75</v>
      </c>
      <c r="H60" s="14">
        <v>3.3473000000000003E-2</v>
      </c>
      <c r="I60" s="13">
        <v>7.75</v>
      </c>
      <c r="J60" s="14">
        <v>2.3137999999999999E-2</v>
      </c>
      <c r="M60" s="13"/>
      <c r="N60" s="14"/>
      <c r="O60" s="13">
        <v>7.75</v>
      </c>
      <c r="P60" s="14">
        <v>2.9737E-2</v>
      </c>
      <c r="Q60" s="13">
        <v>7.75</v>
      </c>
      <c r="R60" s="14">
        <v>6.535E-3</v>
      </c>
      <c r="S60" s="13">
        <v>7.75</v>
      </c>
      <c r="T60" s="14">
        <v>3.3473000000000003E-2</v>
      </c>
      <c r="U60" s="13">
        <v>7.75</v>
      </c>
      <c r="V60" s="14">
        <v>2.3137999999999999E-2</v>
      </c>
    </row>
    <row r="61" spans="1:22" x14ac:dyDescent="0.4">
      <c r="A61" s="13"/>
      <c r="B61" s="14"/>
      <c r="C61" s="13">
        <v>8</v>
      </c>
      <c r="D61" s="14">
        <v>2.9755E-2</v>
      </c>
      <c r="E61" s="13">
        <v>8</v>
      </c>
      <c r="F61" s="14">
        <v>6.7250000000000001E-3</v>
      </c>
      <c r="G61" s="13">
        <v>8</v>
      </c>
      <c r="H61" s="14">
        <v>3.3485000000000001E-2</v>
      </c>
      <c r="I61" s="13">
        <v>8</v>
      </c>
      <c r="J61" s="14">
        <v>2.3165999999999999E-2</v>
      </c>
      <c r="M61" s="13"/>
      <c r="N61" s="14"/>
      <c r="O61" s="13">
        <v>8</v>
      </c>
      <c r="P61" s="14">
        <v>2.9755E-2</v>
      </c>
      <c r="Q61" s="13">
        <v>8</v>
      </c>
      <c r="R61" s="14">
        <v>6.7250000000000001E-3</v>
      </c>
      <c r="S61" s="13">
        <v>8</v>
      </c>
      <c r="T61" s="14">
        <v>3.3485000000000001E-2</v>
      </c>
      <c r="U61" s="13">
        <v>8</v>
      </c>
      <c r="V61" s="14">
        <v>2.3165999999999999E-2</v>
      </c>
    </row>
    <row r="62" spans="1:22" x14ac:dyDescent="0.4">
      <c r="A62" s="13"/>
      <c r="B62" s="14"/>
      <c r="C62" s="13">
        <v>8.25</v>
      </c>
      <c r="D62" s="14">
        <v>2.9711000000000001E-2</v>
      </c>
      <c r="E62" s="13">
        <v>8.25</v>
      </c>
      <c r="F62" s="14">
        <v>6.9090000000000002E-3</v>
      </c>
      <c r="G62" s="13">
        <v>8.25</v>
      </c>
      <c r="H62" s="14">
        <v>3.3495999999999998E-2</v>
      </c>
      <c r="I62" s="13">
        <v>8.25</v>
      </c>
      <c r="J62" s="14">
        <v>2.3192999999999998E-2</v>
      </c>
      <c r="M62" s="13"/>
      <c r="N62" s="14"/>
      <c r="O62" s="13">
        <v>8.25</v>
      </c>
      <c r="P62" s="14">
        <v>2.9711000000000001E-2</v>
      </c>
      <c r="Q62" s="13">
        <v>8.25</v>
      </c>
      <c r="R62" s="14">
        <v>6.9090000000000002E-3</v>
      </c>
      <c r="S62" s="13">
        <v>8.25</v>
      </c>
      <c r="T62" s="14">
        <v>3.3495999999999998E-2</v>
      </c>
      <c r="U62" s="13">
        <v>8.25</v>
      </c>
      <c r="V62" s="14">
        <v>2.3192999999999998E-2</v>
      </c>
    </row>
    <row r="63" spans="1:22" x14ac:dyDescent="0.4">
      <c r="A63" s="13"/>
      <c r="B63" s="14"/>
      <c r="C63" s="13">
        <v>8.5</v>
      </c>
      <c r="D63" s="14">
        <v>2.9781999999999999E-2</v>
      </c>
      <c r="E63" s="13">
        <v>8.5</v>
      </c>
      <c r="F63" s="14">
        <v>7.0889999999999998E-3</v>
      </c>
      <c r="G63" s="13">
        <v>8.5</v>
      </c>
      <c r="H63" s="14">
        <v>3.3507000000000002E-2</v>
      </c>
      <c r="I63" s="13">
        <v>8.5</v>
      </c>
      <c r="J63" s="14">
        <v>2.3220000000000001E-2</v>
      </c>
      <c r="M63" s="13"/>
      <c r="N63" s="14"/>
      <c r="O63" s="13">
        <v>8.5</v>
      </c>
      <c r="P63" s="14">
        <v>2.9781999999999999E-2</v>
      </c>
      <c r="Q63" s="13">
        <v>8.5</v>
      </c>
      <c r="R63" s="14">
        <v>7.0889999999999998E-3</v>
      </c>
      <c r="S63" s="13">
        <v>8.5</v>
      </c>
      <c r="T63" s="14">
        <v>3.3507000000000002E-2</v>
      </c>
      <c r="U63" s="13">
        <v>8.5</v>
      </c>
      <c r="V63" s="14">
        <v>2.3220000000000001E-2</v>
      </c>
    </row>
    <row r="64" spans="1:22" x14ac:dyDescent="0.4">
      <c r="A64" s="13"/>
      <c r="B64" s="14"/>
      <c r="C64" s="13">
        <v>8.75</v>
      </c>
      <c r="D64" s="14">
        <v>2.9791999999999999E-2</v>
      </c>
      <c r="E64" s="13">
        <v>8.75</v>
      </c>
      <c r="F64" s="14">
        <v>7.2659999999999999E-3</v>
      </c>
      <c r="G64" s="13">
        <v>8.75</v>
      </c>
      <c r="H64" s="14">
        <v>3.3515000000000003E-2</v>
      </c>
      <c r="I64" s="13">
        <v>8.75</v>
      </c>
      <c r="J64" s="14">
        <v>2.325E-2</v>
      </c>
      <c r="M64" s="13"/>
      <c r="N64" s="14"/>
      <c r="O64" s="13">
        <v>8.75</v>
      </c>
      <c r="P64" s="14">
        <v>2.9791999999999999E-2</v>
      </c>
      <c r="Q64" s="13">
        <v>8.75</v>
      </c>
      <c r="R64" s="14">
        <v>7.2659999999999999E-3</v>
      </c>
      <c r="S64" s="13">
        <v>8.75</v>
      </c>
      <c r="T64" s="14">
        <v>3.3515000000000003E-2</v>
      </c>
      <c r="U64" s="13">
        <v>8.75</v>
      </c>
      <c r="V64" s="14">
        <v>2.325E-2</v>
      </c>
    </row>
    <row r="65" spans="1:22" x14ac:dyDescent="0.4">
      <c r="A65" s="13"/>
      <c r="B65" s="14"/>
      <c r="C65" s="13">
        <v>9</v>
      </c>
      <c r="D65" s="14">
        <v>2.98E-2</v>
      </c>
      <c r="E65" s="13">
        <v>9</v>
      </c>
      <c r="F65" s="14">
        <v>7.4409999999999997E-3</v>
      </c>
      <c r="G65" s="13">
        <v>9</v>
      </c>
      <c r="H65" s="14">
        <v>3.3519E-2</v>
      </c>
      <c r="I65" s="13">
        <v>9</v>
      </c>
      <c r="J65" s="14">
        <v>2.3286000000000001E-2</v>
      </c>
      <c r="M65" s="13"/>
      <c r="N65" s="14"/>
      <c r="O65" s="13">
        <v>9</v>
      </c>
      <c r="P65" s="14">
        <v>2.98E-2</v>
      </c>
      <c r="Q65" s="13">
        <v>9</v>
      </c>
      <c r="R65" s="14">
        <v>7.4409999999999997E-3</v>
      </c>
      <c r="S65" s="13">
        <v>9</v>
      </c>
      <c r="T65" s="14">
        <v>3.3519E-2</v>
      </c>
      <c r="U65" s="13">
        <v>9</v>
      </c>
      <c r="V65" s="14">
        <v>2.3286000000000001E-2</v>
      </c>
    </row>
    <row r="66" spans="1:22" x14ac:dyDescent="0.4">
      <c r="A66" s="13"/>
      <c r="B66" s="14"/>
      <c r="C66" s="13">
        <v>9.25</v>
      </c>
      <c r="D66" s="14">
        <v>2.9808999999999999E-2</v>
      </c>
      <c r="E66" s="13">
        <v>9.25</v>
      </c>
      <c r="F66" s="14">
        <v>7.6150000000000002E-3</v>
      </c>
      <c r="G66" s="13">
        <v>9.25</v>
      </c>
      <c r="H66" s="14">
        <v>3.3520000000000001E-2</v>
      </c>
      <c r="I66" s="13">
        <v>9.25</v>
      </c>
      <c r="J66" s="14">
        <v>2.3328999999999999E-2</v>
      </c>
      <c r="M66" s="13"/>
      <c r="N66" s="14"/>
      <c r="O66" s="13">
        <v>9.25</v>
      </c>
      <c r="P66" s="14">
        <v>2.9808999999999999E-2</v>
      </c>
      <c r="Q66" s="13">
        <v>9.25</v>
      </c>
      <c r="R66" s="14">
        <v>7.6150000000000002E-3</v>
      </c>
      <c r="S66" s="13">
        <v>9.25</v>
      </c>
      <c r="T66" s="14">
        <v>3.3520000000000001E-2</v>
      </c>
      <c r="U66" s="13">
        <v>9.25</v>
      </c>
      <c r="V66" s="14">
        <v>2.3328999999999999E-2</v>
      </c>
    </row>
    <row r="67" spans="1:22" x14ac:dyDescent="0.4">
      <c r="A67" s="13"/>
      <c r="B67" s="14"/>
      <c r="C67" s="13">
        <v>9.5</v>
      </c>
      <c r="D67" s="14">
        <v>2.9818000000000001E-2</v>
      </c>
      <c r="E67" s="13">
        <v>9.5</v>
      </c>
      <c r="F67" s="14">
        <v>7.7879999999999998E-3</v>
      </c>
      <c r="G67" s="13">
        <v>9.5</v>
      </c>
      <c r="H67" s="14">
        <v>3.3522999999999997E-2</v>
      </c>
      <c r="I67" s="13">
        <v>9.5</v>
      </c>
      <c r="J67" s="14">
        <v>2.3377999999999999E-2</v>
      </c>
      <c r="M67" s="13"/>
      <c r="N67" s="14"/>
      <c r="O67" s="13">
        <v>9.5</v>
      </c>
      <c r="P67" s="14">
        <v>2.9818000000000001E-2</v>
      </c>
      <c r="Q67" s="13">
        <v>9.5</v>
      </c>
      <c r="R67" s="14">
        <v>7.7879999999999998E-3</v>
      </c>
      <c r="S67" s="13">
        <v>9.5</v>
      </c>
      <c r="T67" s="14">
        <v>3.3522999999999997E-2</v>
      </c>
      <c r="U67" s="13">
        <v>9.5</v>
      </c>
      <c r="V67" s="14">
        <v>2.3377999999999999E-2</v>
      </c>
    </row>
    <row r="68" spans="1:22" x14ac:dyDescent="0.4">
      <c r="A68" s="13"/>
      <c r="B68" s="14"/>
      <c r="C68" s="13">
        <v>9.75</v>
      </c>
      <c r="D68" s="14">
        <v>2.9829999999999999E-2</v>
      </c>
      <c r="E68" s="13">
        <v>9.75</v>
      </c>
      <c r="F68" s="14">
        <v>7.9570000000000005E-3</v>
      </c>
      <c r="G68" s="13">
        <v>9.75</v>
      </c>
      <c r="H68" s="14">
        <v>3.3531999999999999E-2</v>
      </c>
      <c r="I68" s="13">
        <v>9.75</v>
      </c>
      <c r="J68" s="14">
        <v>2.3431E-2</v>
      </c>
      <c r="M68" s="13"/>
      <c r="N68" s="14"/>
      <c r="O68" s="13">
        <v>9.75</v>
      </c>
      <c r="P68" s="14">
        <v>2.9829999999999999E-2</v>
      </c>
      <c r="Q68" s="13">
        <v>9.75</v>
      </c>
      <c r="R68" s="14">
        <v>7.9570000000000005E-3</v>
      </c>
      <c r="S68" s="13">
        <v>9.75</v>
      </c>
      <c r="T68" s="14">
        <v>3.3531999999999999E-2</v>
      </c>
      <c r="U68" s="13">
        <v>9.75</v>
      </c>
      <c r="V68" s="14">
        <v>2.3431E-2</v>
      </c>
    </row>
    <row r="69" spans="1:22" x14ac:dyDescent="0.4">
      <c r="A69" s="13"/>
      <c r="B69" s="14"/>
      <c r="C69" s="13">
        <v>10</v>
      </c>
      <c r="D69" s="14">
        <v>2.9845E-2</v>
      </c>
      <c r="E69" s="13">
        <v>10</v>
      </c>
      <c r="F69" s="14">
        <v>8.1239999999999993E-3</v>
      </c>
      <c r="G69" s="13">
        <v>10</v>
      </c>
      <c r="H69" s="14">
        <v>3.3552999999999999E-2</v>
      </c>
      <c r="I69" s="13">
        <v>10</v>
      </c>
      <c r="J69" s="14">
        <v>2.3486E-2</v>
      </c>
      <c r="M69" s="13"/>
      <c r="N69" s="14"/>
      <c r="O69" s="13">
        <v>10</v>
      </c>
      <c r="P69" s="14">
        <v>2.9845E-2</v>
      </c>
      <c r="Q69" s="13">
        <v>10</v>
      </c>
      <c r="R69" s="14">
        <v>8.1239999999999993E-3</v>
      </c>
      <c r="S69" s="13">
        <v>10</v>
      </c>
      <c r="T69" s="14">
        <v>3.3552999999999999E-2</v>
      </c>
      <c r="U69" s="13">
        <v>10</v>
      </c>
      <c r="V69" s="14">
        <v>2.3486E-2</v>
      </c>
    </row>
    <row r="70" spans="1:22" x14ac:dyDescent="0.4">
      <c r="A70" s="13"/>
      <c r="B70" s="14"/>
      <c r="C70" s="13">
        <v>12</v>
      </c>
      <c r="D70" s="14">
        <v>3.0054000000000001E-2</v>
      </c>
      <c r="E70" s="13">
        <v>20</v>
      </c>
      <c r="F70" s="14">
        <v>1.346259E-2</v>
      </c>
      <c r="G70" s="13"/>
      <c r="H70" s="14"/>
      <c r="I70" s="13">
        <v>20</v>
      </c>
      <c r="J70" s="14">
        <v>2.3756349999999999E-2</v>
      </c>
      <c r="M70" s="13"/>
      <c r="N70" s="14"/>
      <c r="O70" s="13">
        <v>12</v>
      </c>
      <c r="P70" s="14">
        <v>3.0054000000000001E-2</v>
      </c>
      <c r="Q70" s="13">
        <v>20</v>
      </c>
      <c r="R70" s="14">
        <v>1.346259E-2</v>
      </c>
      <c r="S70" s="13"/>
      <c r="T70" s="14"/>
      <c r="U70" s="13">
        <v>20</v>
      </c>
      <c r="V70" s="14">
        <v>2.3756349999999999E-2</v>
      </c>
    </row>
    <row r="71" spans="1:22" x14ac:dyDescent="0.4">
      <c r="A71" s="13"/>
      <c r="B71" s="14"/>
      <c r="C71" s="13">
        <v>15</v>
      </c>
      <c r="D71" s="14">
        <v>3.0178E-2</v>
      </c>
      <c r="E71" s="13"/>
      <c r="F71" s="14"/>
      <c r="G71" s="13"/>
      <c r="H71" s="14"/>
      <c r="I71" s="13"/>
      <c r="J71" s="14"/>
      <c r="M71" s="13"/>
      <c r="N71" s="14"/>
      <c r="O71" s="13">
        <v>15</v>
      </c>
      <c r="P71" s="14">
        <v>3.0178E-2</v>
      </c>
      <c r="Q71" s="13"/>
      <c r="R71" s="14"/>
      <c r="S71" s="13"/>
      <c r="T71" s="14"/>
      <c r="U71" s="13"/>
      <c r="V71" s="14"/>
    </row>
    <row r="72" spans="1:22" x14ac:dyDescent="0.4">
      <c r="A72" s="15"/>
      <c r="B72" s="16"/>
      <c r="C72" s="15">
        <v>20</v>
      </c>
      <c r="D72" s="16">
        <v>2.9733119999999998E-2</v>
      </c>
      <c r="E72" s="15"/>
      <c r="F72" s="16"/>
      <c r="G72" s="15"/>
      <c r="H72" s="16"/>
      <c r="I72" s="15"/>
      <c r="J72" s="16"/>
      <c r="M72" s="15"/>
      <c r="N72" s="16"/>
      <c r="O72" s="15">
        <v>20</v>
      </c>
      <c r="P72" s="16">
        <v>2.9733119999999998E-2</v>
      </c>
      <c r="Q72" s="15"/>
      <c r="R72" s="16"/>
      <c r="S72" s="15"/>
      <c r="T72" s="16"/>
      <c r="U72" s="15"/>
      <c r="V72" s="16"/>
    </row>
    <row r="75" spans="1:22" x14ac:dyDescent="0.4">
      <c r="A75" s="5"/>
    </row>
    <row r="76" spans="1:22" x14ac:dyDescent="0.4">
      <c r="A76" s="10"/>
      <c r="B76" s="10"/>
      <c r="C76" s="10"/>
      <c r="D76" s="10"/>
      <c r="E76" s="10"/>
      <c r="F76" s="10"/>
      <c r="G76" s="10"/>
      <c r="H76" s="10"/>
      <c r="I76" s="10"/>
      <c r="J76" s="10"/>
    </row>
    <row r="77" spans="1:22" x14ac:dyDescent="0.4">
      <c r="A77" s="10"/>
      <c r="B77" s="10"/>
      <c r="C77" s="10"/>
      <c r="D77" s="10"/>
      <c r="E77" s="10"/>
      <c r="F77" s="10"/>
      <c r="G77" s="10"/>
      <c r="H77" s="10"/>
      <c r="I77" s="10"/>
      <c r="J77" s="10"/>
    </row>
    <row r="78" spans="1:22" x14ac:dyDescent="0.4">
      <c r="A78" s="8"/>
      <c r="B78" s="8"/>
      <c r="C78" s="8"/>
      <c r="D78" s="8"/>
      <c r="E78" s="8"/>
      <c r="F78" s="8"/>
      <c r="G78" s="8"/>
      <c r="H78" s="8"/>
      <c r="I78" s="8"/>
      <c r="J78" s="8"/>
    </row>
    <row r="79" spans="1:22" x14ac:dyDescent="0.4">
      <c r="A79" s="8"/>
      <c r="B79" s="8"/>
      <c r="C79" s="8"/>
      <c r="D79" s="8"/>
      <c r="E79" s="8"/>
      <c r="F79" s="8"/>
      <c r="G79" s="8"/>
      <c r="H79" s="8"/>
      <c r="I79" s="8"/>
      <c r="J79" s="8"/>
    </row>
    <row r="80" spans="1:22" x14ac:dyDescent="0.4">
      <c r="A80" s="8"/>
      <c r="B80" s="8"/>
      <c r="C80" s="8"/>
      <c r="D80" s="8"/>
      <c r="E80" s="8"/>
      <c r="F80" s="8"/>
      <c r="G80" s="8"/>
      <c r="H80" s="8"/>
      <c r="I80" s="8"/>
      <c r="J80" s="8"/>
    </row>
    <row r="81" spans="1:10" x14ac:dyDescent="0.4">
      <c r="A81" s="8"/>
      <c r="B81" s="8"/>
      <c r="C81" s="8"/>
      <c r="D81" s="8"/>
      <c r="E81" s="8"/>
      <c r="F81" s="8"/>
      <c r="G81" s="8"/>
      <c r="H81" s="8"/>
      <c r="I81" s="8"/>
      <c r="J81" s="8"/>
    </row>
    <row r="82" spans="1:10" x14ac:dyDescent="0.4">
      <c r="A82" s="8"/>
      <c r="B82" s="8"/>
      <c r="C82" s="8"/>
      <c r="D82" s="8"/>
      <c r="E82" s="8"/>
      <c r="F82" s="8"/>
      <c r="G82" s="8"/>
      <c r="H82" s="8"/>
      <c r="I82" s="8"/>
      <c r="J82" s="8"/>
    </row>
    <row r="83" spans="1:10" x14ac:dyDescent="0.4">
      <c r="A83" s="8"/>
      <c r="B83" s="8"/>
      <c r="C83" s="8"/>
      <c r="D83" s="8"/>
      <c r="E83" s="8"/>
      <c r="F83" s="8"/>
      <c r="G83" s="8"/>
      <c r="H83" s="8"/>
      <c r="I83" s="8"/>
      <c r="J83" s="8"/>
    </row>
    <row r="84" spans="1:10" x14ac:dyDescent="0.4">
      <c r="A84" s="8"/>
      <c r="B84" s="8"/>
      <c r="C84" s="8"/>
      <c r="D84" s="8"/>
      <c r="E84" s="8"/>
      <c r="F84" s="8"/>
      <c r="G84" s="8"/>
      <c r="H84" s="8"/>
      <c r="I84" s="8"/>
      <c r="J84" s="8"/>
    </row>
    <row r="85" spans="1:10" x14ac:dyDescent="0.4">
      <c r="A85" s="8"/>
      <c r="B85" s="8"/>
      <c r="C85" s="8"/>
      <c r="D85" s="8"/>
      <c r="E85" s="8"/>
      <c r="F85" s="8"/>
      <c r="G85" s="8"/>
      <c r="H85" s="8"/>
      <c r="I85" s="8"/>
      <c r="J85" s="8"/>
    </row>
    <row r="86" spans="1:10" x14ac:dyDescent="0.4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 x14ac:dyDescent="0.4">
      <c r="A87" s="8"/>
      <c r="B87" s="8"/>
      <c r="C87" s="8"/>
      <c r="D87" s="8"/>
      <c r="E87" s="8"/>
      <c r="F87" s="8"/>
      <c r="G87" s="8"/>
      <c r="H87" s="8"/>
      <c r="I87" s="8"/>
      <c r="J87" s="8"/>
    </row>
    <row r="88" spans="1:10" x14ac:dyDescent="0.4">
      <c r="A88" s="8"/>
      <c r="B88" s="8"/>
      <c r="C88" s="8"/>
      <c r="D88" s="8"/>
      <c r="E88" s="8"/>
      <c r="F88" s="8"/>
      <c r="G88" s="8"/>
      <c r="H88" s="8"/>
      <c r="I88" s="8"/>
      <c r="J88" s="8"/>
    </row>
    <row r="89" spans="1:10" x14ac:dyDescent="0.4">
      <c r="A89" s="8"/>
      <c r="B89" s="8"/>
      <c r="C89" s="8"/>
      <c r="D89" s="8"/>
      <c r="E89" s="8"/>
      <c r="F89" s="8"/>
      <c r="G89" s="8"/>
      <c r="H89" s="8"/>
      <c r="I89" s="8"/>
      <c r="J89" s="8"/>
    </row>
    <row r="90" spans="1:10" x14ac:dyDescent="0.4">
      <c r="A90" s="8"/>
      <c r="B90" s="8"/>
      <c r="C90" s="8"/>
      <c r="D90" s="8"/>
      <c r="E90" s="8"/>
      <c r="F90" s="8"/>
      <c r="G90" s="8"/>
      <c r="H90" s="8"/>
      <c r="I90" s="8"/>
      <c r="J90" s="8"/>
    </row>
    <row r="91" spans="1:10" x14ac:dyDescent="0.4">
      <c r="A91" s="8"/>
      <c r="B91" s="8"/>
      <c r="C91" s="8"/>
      <c r="D91" s="8"/>
      <c r="E91" s="8"/>
      <c r="F91" s="8"/>
      <c r="G91" s="8"/>
      <c r="H91" s="8"/>
      <c r="I91" s="8"/>
      <c r="J91" s="8"/>
    </row>
    <row r="92" spans="1:10" x14ac:dyDescent="0.4">
      <c r="A92" s="8"/>
      <c r="B92" s="8"/>
      <c r="C92" s="8"/>
      <c r="D92" s="8"/>
      <c r="E92" s="8"/>
      <c r="F92" s="8"/>
      <c r="G92" s="8"/>
      <c r="H92" s="8"/>
      <c r="I92" s="8"/>
      <c r="J92" s="8"/>
    </row>
    <row r="93" spans="1:10" x14ac:dyDescent="0.4">
      <c r="A93" s="8"/>
      <c r="B93" s="8"/>
      <c r="C93" s="8"/>
      <c r="D93" s="8"/>
      <c r="E93" s="8"/>
      <c r="F93" s="8"/>
      <c r="G93" s="8"/>
      <c r="H93" s="8"/>
      <c r="I93" s="8"/>
      <c r="J93" s="8"/>
    </row>
    <row r="94" spans="1:10" x14ac:dyDescent="0.4">
      <c r="A94" s="8"/>
      <c r="B94" s="8"/>
      <c r="C94" s="8"/>
      <c r="D94" s="8"/>
      <c r="E94" s="8"/>
      <c r="F94" s="8"/>
      <c r="G94" s="8"/>
      <c r="H94" s="8"/>
      <c r="I94" s="8"/>
      <c r="J94" s="8"/>
    </row>
    <row r="95" spans="1:10" x14ac:dyDescent="0.4">
      <c r="A95" s="8"/>
      <c r="B95" s="8"/>
      <c r="C95" s="8"/>
      <c r="D95" s="8"/>
      <c r="E95" s="8"/>
      <c r="F95" s="8"/>
      <c r="G95" s="8"/>
      <c r="H95" s="8"/>
      <c r="I95" s="8"/>
      <c r="J95" s="8"/>
    </row>
    <row r="96" spans="1:10" x14ac:dyDescent="0.4">
      <c r="A96" s="8"/>
      <c r="B96" s="8"/>
      <c r="C96" s="8"/>
      <c r="D96" s="8"/>
      <c r="E96" s="8"/>
      <c r="F96" s="8"/>
      <c r="G96" s="8"/>
      <c r="H96" s="8"/>
      <c r="I96" s="8"/>
      <c r="J96" s="8"/>
    </row>
    <row r="97" spans="1:10" x14ac:dyDescent="0.4">
      <c r="A97" s="8"/>
      <c r="B97" s="8"/>
      <c r="C97" s="8"/>
      <c r="D97" s="8"/>
      <c r="E97" s="8"/>
      <c r="F97" s="8"/>
      <c r="G97" s="8"/>
      <c r="H97" s="8"/>
      <c r="I97" s="8"/>
      <c r="J97" s="8"/>
    </row>
    <row r="98" spans="1:10" x14ac:dyDescent="0.4">
      <c r="A98" s="8"/>
      <c r="B98" s="8"/>
      <c r="C98" s="8"/>
      <c r="D98" s="8"/>
      <c r="E98" s="8"/>
      <c r="F98" s="8"/>
      <c r="G98" s="8"/>
      <c r="H98" s="8"/>
      <c r="I98" s="8"/>
      <c r="J98" s="8"/>
    </row>
    <row r="99" spans="1:10" x14ac:dyDescent="0.4">
      <c r="A99" s="8"/>
      <c r="B99" s="8"/>
      <c r="C99" s="8"/>
      <c r="D99" s="8"/>
      <c r="E99" s="8"/>
      <c r="F99" s="8"/>
      <c r="G99" s="8"/>
      <c r="H99" s="8"/>
      <c r="I99" s="8"/>
      <c r="J99" s="8"/>
    </row>
    <row r="100" spans="1:10" x14ac:dyDescent="0.4">
      <c r="A100" s="8"/>
      <c r="B100" s="8"/>
      <c r="C100" s="8"/>
      <c r="D100" s="8"/>
      <c r="E100" s="8"/>
      <c r="F100" s="8"/>
      <c r="G100" s="8"/>
      <c r="H100" s="8"/>
      <c r="I100" s="8"/>
      <c r="J100" s="8"/>
    </row>
    <row r="101" spans="1:10" x14ac:dyDescent="0.4">
      <c r="A101" s="8"/>
      <c r="B101" s="8"/>
      <c r="C101" s="8"/>
      <c r="D101" s="8"/>
      <c r="E101" s="8"/>
      <c r="F101" s="8"/>
      <c r="G101" s="8"/>
      <c r="H101" s="8"/>
      <c r="I101" s="8"/>
      <c r="J101" s="8"/>
    </row>
    <row r="102" spans="1:10" x14ac:dyDescent="0.4">
      <c r="A102" s="8"/>
      <c r="B102" s="8"/>
      <c r="C102" s="8"/>
      <c r="D102" s="8"/>
      <c r="E102" s="8"/>
      <c r="F102" s="8"/>
      <c r="G102" s="8"/>
      <c r="H102" s="8"/>
      <c r="I102" s="8"/>
      <c r="J102" s="8"/>
    </row>
    <row r="103" spans="1:10" x14ac:dyDescent="0.4">
      <c r="A103" s="8"/>
      <c r="B103" s="8"/>
      <c r="C103" s="8"/>
      <c r="D103" s="8"/>
      <c r="E103" s="8"/>
      <c r="F103" s="8"/>
      <c r="G103" s="8"/>
      <c r="H103" s="8"/>
      <c r="I103" s="8"/>
      <c r="J103" s="8"/>
    </row>
    <row r="104" spans="1:10" x14ac:dyDescent="0.4">
      <c r="A104" s="8"/>
      <c r="B104" s="8"/>
      <c r="C104" s="8"/>
      <c r="D104" s="8"/>
      <c r="E104" s="8"/>
      <c r="F104" s="8"/>
      <c r="G104" s="8"/>
      <c r="H104" s="8"/>
      <c r="I104" s="8"/>
      <c r="J104" s="8"/>
    </row>
    <row r="105" spans="1:10" x14ac:dyDescent="0.4">
      <c r="A105" s="8"/>
      <c r="B105" s="8"/>
      <c r="C105" s="8"/>
      <c r="D105" s="8"/>
      <c r="E105" s="8"/>
      <c r="F105" s="8"/>
      <c r="G105" s="8"/>
      <c r="H105" s="8"/>
      <c r="I105" s="8"/>
      <c r="J105" s="8"/>
    </row>
    <row r="106" spans="1:10" x14ac:dyDescent="0.4">
      <c r="A106" s="8"/>
      <c r="B106" s="8"/>
      <c r="C106" s="8"/>
      <c r="D106" s="8"/>
      <c r="E106" s="8"/>
      <c r="F106" s="8"/>
      <c r="G106" s="8"/>
      <c r="H106" s="8"/>
      <c r="I106" s="8"/>
      <c r="J106" s="8"/>
    </row>
    <row r="107" spans="1:10" x14ac:dyDescent="0.4">
      <c r="A107" s="8"/>
      <c r="B107" s="8"/>
      <c r="C107" s="8"/>
      <c r="D107" s="8"/>
      <c r="E107" s="8"/>
      <c r="F107" s="8"/>
      <c r="G107" s="8"/>
      <c r="H107" s="8"/>
      <c r="I107" s="8"/>
      <c r="J107" s="8"/>
    </row>
    <row r="108" spans="1:10" x14ac:dyDescent="0.4">
      <c r="A108" s="8"/>
      <c r="B108" s="8"/>
      <c r="C108" s="8"/>
      <c r="D108" s="8"/>
      <c r="E108" s="8"/>
      <c r="F108" s="8"/>
      <c r="G108" s="8"/>
      <c r="H108" s="8"/>
      <c r="I108" s="8"/>
      <c r="J108" s="8"/>
    </row>
    <row r="109" spans="1:10" x14ac:dyDescent="0.4">
      <c r="A109" s="8"/>
      <c r="B109" s="8"/>
      <c r="C109" s="8"/>
      <c r="D109" s="8"/>
      <c r="E109" s="8"/>
      <c r="F109" s="8"/>
      <c r="G109" s="8"/>
      <c r="H109" s="8"/>
      <c r="I109" s="8"/>
      <c r="J109" s="8"/>
    </row>
    <row r="110" spans="1:10" x14ac:dyDescent="0.4">
      <c r="A110" s="8"/>
      <c r="B110" s="8"/>
      <c r="C110" s="8"/>
      <c r="D110" s="8"/>
      <c r="E110" s="8"/>
      <c r="F110" s="8"/>
      <c r="G110" s="8"/>
      <c r="H110" s="8"/>
      <c r="I110" s="8"/>
      <c r="J110" s="8"/>
    </row>
    <row r="111" spans="1:10" x14ac:dyDescent="0.4">
      <c r="A111" s="8"/>
      <c r="B111" s="8"/>
      <c r="C111" s="8"/>
      <c r="D111" s="8"/>
      <c r="E111" s="8"/>
      <c r="F111" s="8"/>
      <c r="G111" s="8"/>
      <c r="H111" s="8"/>
      <c r="I111" s="8"/>
      <c r="J111" s="8"/>
    </row>
    <row r="112" spans="1:10" x14ac:dyDescent="0.4">
      <c r="A112" s="8"/>
      <c r="B112" s="8"/>
      <c r="C112" s="8"/>
      <c r="D112" s="8"/>
      <c r="E112" s="8"/>
      <c r="F112" s="8"/>
      <c r="G112" s="8"/>
      <c r="H112" s="8"/>
      <c r="I112" s="8"/>
      <c r="J112" s="8"/>
    </row>
    <row r="113" spans="1:10" x14ac:dyDescent="0.4">
      <c r="A113" s="8"/>
      <c r="B113" s="8"/>
      <c r="C113" s="8"/>
      <c r="D113" s="8"/>
      <c r="E113" s="8"/>
      <c r="F113" s="8"/>
      <c r="G113" s="8"/>
      <c r="H113" s="8"/>
      <c r="I113" s="8"/>
      <c r="J113" s="8"/>
    </row>
    <row r="114" spans="1:10" x14ac:dyDescent="0.4">
      <c r="A114" s="8"/>
      <c r="B114" s="8"/>
      <c r="C114" s="8"/>
      <c r="D114" s="8"/>
      <c r="E114" s="8"/>
      <c r="F114" s="8"/>
      <c r="G114" s="8"/>
      <c r="H114" s="8"/>
      <c r="I114" s="8"/>
      <c r="J114" s="8"/>
    </row>
    <row r="115" spans="1:10" x14ac:dyDescent="0.4">
      <c r="A115" s="8"/>
      <c r="B115" s="8"/>
      <c r="C115" s="8"/>
      <c r="D115" s="8"/>
      <c r="E115" s="8"/>
      <c r="F115" s="8"/>
      <c r="G115" s="8"/>
      <c r="H115" s="8"/>
      <c r="I115" s="8"/>
      <c r="J115" s="8"/>
    </row>
    <row r="116" spans="1:10" x14ac:dyDescent="0.4">
      <c r="A116" s="8"/>
      <c r="B116" s="8"/>
      <c r="C116" s="8"/>
      <c r="D116" s="8"/>
      <c r="E116" s="8"/>
      <c r="F116" s="8"/>
      <c r="G116" s="8"/>
      <c r="H116" s="8"/>
      <c r="I116" s="8"/>
      <c r="J116" s="8"/>
    </row>
    <row r="117" spans="1:10" x14ac:dyDescent="0.4">
      <c r="A117" s="8"/>
      <c r="B117" s="8"/>
      <c r="C117" s="8"/>
      <c r="D117" s="8"/>
      <c r="E117" s="8"/>
      <c r="F117" s="8"/>
      <c r="G117" s="8"/>
      <c r="H117" s="8"/>
      <c r="I117" s="8"/>
      <c r="J117" s="8"/>
    </row>
    <row r="118" spans="1:10" x14ac:dyDescent="0.4">
      <c r="A118" s="8"/>
      <c r="B118" s="8"/>
      <c r="C118" s="8"/>
      <c r="D118" s="8"/>
      <c r="E118" s="8"/>
      <c r="F118" s="8"/>
      <c r="G118" s="8"/>
      <c r="H118" s="8"/>
      <c r="I118" s="8"/>
      <c r="J118" s="8"/>
    </row>
    <row r="119" spans="1:10" x14ac:dyDescent="0.4">
      <c r="A119" s="8"/>
      <c r="B119" s="8"/>
      <c r="C119" s="8"/>
      <c r="D119" s="8"/>
      <c r="E119" s="8"/>
      <c r="F119" s="8"/>
      <c r="G119" s="8"/>
      <c r="H119" s="8"/>
      <c r="I119" s="8"/>
      <c r="J119" s="8"/>
    </row>
    <row r="120" spans="1:10" x14ac:dyDescent="0.4">
      <c r="A120" s="8"/>
      <c r="B120" s="8"/>
      <c r="C120" s="8"/>
      <c r="D120" s="8"/>
      <c r="E120" s="8"/>
      <c r="F120" s="8"/>
      <c r="G120" s="8"/>
      <c r="H120" s="8"/>
      <c r="I120" s="8"/>
      <c r="J120" s="8"/>
    </row>
    <row r="121" spans="1:10" x14ac:dyDescent="0.4">
      <c r="A121" s="8"/>
      <c r="B121" s="8"/>
      <c r="C121" s="8"/>
      <c r="D121" s="8"/>
      <c r="E121" s="8"/>
      <c r="F121" s="8"/>
      <c r="G121" s="8"/>
      <c r="H121" s="8"/>
      <c r="I121" s="8"/>
      <c r="J121" s="8"/>
    </row>
    <row r="122" spans="1:10" x14ac:dyDescent="0.4">
      <c r="A122" s="8"/>
      <c r="B122" s="8"/>
      <c r="C122" s="8"/>
      <c r="D122" s="8"/>
      <c r="E122" s="8"/>
      <c r="F122" s="8"/>
      <c r="G122" s="8"/>
      <c r="H122" s="8"/>
      <c r="I122" s="8"/>
      <c r="J122" s="8"/>
    </row>
    <row r="123" spans="1:10" x14ac:dyDescent="0.4">
      <c r="A123" s="8"/>
      <c r="B123" s="8"/>
      <c r="C123" s="8"/>
      <c r="D123" s="8"/>
      <c r="E123" s="8"/>
      <c r="F123" s="8"/>
      <c r="G123" s="8"/>
      <c r="H123" s="8"/>
      <c r="I123" s="8"/>
      <c r="J123" s="8"/>
    </row>
    <row r="124" spans="1:10" x14ac:dyDescent="0.4">
      <c r="A124" s="8"/>
      <c r="B124" s="8"/>
      <c r="C124" s="8"/>
      <c r="D124" s="8"/>
      <c r="E124" s="8"/>
      <c r="F124" s="8"/>
      <c r="G124" s="8"/>
      <c r="H124" s="8"/>
      <c r="I124" s="8"/>
      <c r="J124" s="8"/>
    </row>
    <row r="125" spans="1:10" x14ac:dyDescent="0.4">
      <c r="A125" s="8"/>
      <c r="B125" s="8"/>
      <c r="C125" s="8"/>
      <c r="D125" s="8"/>
      <c r="E125" s="8"/>
      <c r="F125" s="8"/>
      <c r="G125" s="8"/>
      <c r="H125" s="8"/>
      <c r="I125" s="8"/>
      <c r="J125" s="8"/>
    </row>
    <row r="126" spans="1:10" x14ac:dyDescent="0.4">
      <c r="A126" s="8"/>
      <c r="B126" s="8"/>
      <c r="C126" s="8"/>
      <c r="D126" s="8"/>
      <c r="E126" s="8"/>
      <c r="F126" s="8"/>
      <c r="G126" s="8"/>
      <c r="H126" s="8"/>
      <c r="I126" s="8"/>
      <c r="J126" s="8"/>
    </row>
    <row r="127" spans="1:10" x14ac:dyDescent="0.4">
      <c r="A127" s="8"/>
      <c r="B127" s="8"/>
      <c r="C127" s="8"/>
      <c r="D127" s="8"/>
      <c r="E127" s="8"/>
      <c r="F127" s="8"/>
      <c r="G127" s="8"/>
      <c r="H127" s="8"/>
      <c r="I127" s="8"/>
      <c r="J127" s="8"/>
    </row>
    <row r="128" spans="1:10" x14ac:dyDescent="0.4">
      <c r="A128" s="8"/>
      <c r="B128" s="8"/>
      <c r="C128" s="8"/>
      <c r="D128" s="8"/>
      <c r="E128" s="8"/>
      <c r="F128" s="8"/>
      <c r="G128" s="8"/>
      <c r="H128" s="8"/>
      <c r="I128" s="8"/>
      <c r="J128" s="8"/>
    </row>
    <row r="129" spans="1:10" x14ac:dyDescent="0.4">
      <c r="A129" s="8"/>
      <c r="B129" s="8"/>
      <c r="C129" s="8"/>
      <c r="D129" s="8"/>
      <c r="E129" s="8"/>
      <c r="F129" s="8"/>
      <c r="G129" s="8"/>
      <c r="H129" s="8"/>
      <c r="I129" s="8"/>
      <c r="J129" s="8"/>
    </row>
    <row r="130" spans="1:10" x14ac:dyDescent="0.4">
      <c r="A130" s="8"/>
      <c r="B130" s="8"/>
      <c r="C130" s="8"/>
      <c r="D130" s="8"/>
      <c r="E130" s="8"/>
      <c r="F130" s="8"/>
      <c r="G130" s="8"/>
      <c r="H130" s="8"/>
      <c r="I130" s="8"/>
      <c r="J130" s="8"/>
    </row>
  </sheetData>
  <dataConsolidate/>
  <mergeCells count="20">
    <mergeCell ref="A26:J26"/>
    <mergeCell ref="M26:V26"/>
    <mergeCell ref="A17:J17"/>
    <mergeCell ref="M17:V17"/>
    <mergeCell ref="A18:A19"/>
    <mergeCell ref="B18:B19"/>
    <mergeCell ref="C18:C19"/>
    <mergeCell ref="D18:J18"/>
    <mergeCell ref="M18:M19"/>
    <mergeCell ref="N18:N19"/>
    <mergeCell ref="O18:O19"/>
    <mergeCell ref="P18:V18"/>
    <mergeCell ref="A5:I5"/>
    <mergeCell ref="M5:U5"/>
    <mergeCell ref="A6:A7"/>
    <mergeCell ref="B6:B7"/>
    <mergeCell ref="C6:I6"/>
    <mergeCell ref="M6:M7"/>
    <mergeCell ref="N6:N7"/>
    <mergeCell ref="O6:U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D955A-5EB3-4BD8-AEDB-CDCDA0DED1DB}">
  <sheetPr codeName="Sheet3"/>
  <dimension ref="A1:BD49"/>
  <sheetViews>
    <sheetView topLeftCell="AA1" workbookViewId="0">
      <selection activeCell="AN10" sqref="AN10"/>
    </sheetView>
  </sheetViews>
  <sheetFormatPr defaultColWidth="11.09765625" defaultRowHeight="17.399999999999999" x14ac:dyDescent="0.4"/>
  <cols>
    <col min="1" max="27" width="11.09765625" style="18"/>
    <col min="28" max="29" width="5.59765625" style="18" customWidth="1"/>
    <col min="30" max="16384" width="11.09765625" style="18"/>
  </cols>
  <sheetData>
    <row r="1" spans="1:56" x14ac:dyDescent="0.4">
      <c r="A1" s="17" t="s">
        <v>42</v>
      </c>
    </row>
    <row r="2" spans="1:56" ht="25.2" x14ac:dyDescent="0.4">
      <c r="A2" s="33" t="s">
        <v>43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D2" s="33" t="s">
        <v>9</v>
      </c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</row>
    <row r="3" spans="1:56" x14ac:dyDescent="0.4">
      <c r="A3" s="7" t="s">
        <v>10</v>
      </c>
      <c r="B3" s="27" t="s">
        <v>44</v>
      </c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D3" s="7" t="s">
        <v>10</v>
      </c>
      <c r="AE3" s="27" t="s">
        <v>44</v>
      </c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</row>
    <row r="4" spans="1:56" x14ac:dyDescent="0.4">
      <c r="A4" s="7" t="s">
        <v>45</v>
      </c>
      <c r="C4" s="4">
        <v>0.3</v>
      </c>
      <c r="D4" s="4">
        <v>0.35</v>
      </c>
      <c r="E4" s="4">
        <v>0.4</v>
      </c>
      <c r="F4" s="4">
        <v>0.45</v>
      </c>
      <c r="G4" s="4">
        <v>0.5</v>
      </c>
      <c r="H4" s="4">
        <v>0.55000000000000004</v>
      </c>
      <c r="I4" s="4">
        <v>0.6</v>
      </c>
      <c r="J4" s="4">
        <v>0.65</v>
      </c>
      <c r="K4" s="4">
        <v>0.7</v>
      </c>
      <c r="L4" s="4">
        <v>0.75</v>
      </c>
      <c r="M4" s="4">
        <v>0.8</v>
      </c>
      <c r="N4" s="4">
        <v>0.85</v>
      </c>
      <c r="O4" s="4">
        <v>0.9</v>
      </c>
      <c r="P4" s="4">
        <v>0.95</v>
      </c>
      <c r="Q4" s="4">
        <v>1</v>
      </c>
      <c r="R4" s="4">
        <v>1.05</v>
      </c>
      <c r="S4" s="4">
        <v>1.1000000000000001</v>
      </c>
      <c r="T4" s="4">
        <v>1.1499999999999999</v>
      </c>
      <c r="U4" s="4">
        <v>1.2</v>
      </c>
      <c r="V4" s="4">
        <v>1.25</v>
      </c>
      <c r="W4" s="4">
        <v>1.3</v>
      </c>
      <c r="X4" s="4">
        <v>1.35</v>
      </c>
      <c r="Y4" s="4">
        <v>1.4</v>
      </c>
      <c r="Z4" s="4">
        <v>1.45</v>
      </c>
      <c r="AA4" s="4">
        <v>1.5</v>
      </c>
      <c r="AD4" s="7" t="s">
        <v>45</v>
      </c>
      <c r="AF4" s="4">
        <v>0.3</v>
      </c>
      <c r="AG4" s="4">
        <v>0.35</v>
      </c>
      <c r="AH4" s="4">
        <v>0.4</v>
      </c>
      <c r="AI4" s="4">
        <v>0.45</v>
      </c>
      <c r="AJ4" s="4">
        <v>0.5</v>
      </c>
      <c r="AK4" s="4">
        <v>0.55000000000000004</v>
      </c>
      <c r="AL4" s="4">
        <v>0.6</v>
      </c>
      <c r="AM4" s="4">
        <v>0.65</v>
      </c>
      <c r="AN4" s="4">
        <v>0.7</v>
      </c>
      <c r="AO4" s="4">
        <v>0.75</v>
      </c>
      <c r="AP4" s="4">
        <v>0.8</v>
      </c>
      <c r="AQ4" s="4">
        <v>0.85</v>
      </c>
      <c r="AR4" s="4">
        <v>0.9</v>
      </c>
      <c r="AS4" s="4">
        <v>0.95</v>
      </c>
      <c r="AT4" s="4">
        <v>1</v>
      </c>
      <c r="AU4" s="4">
        <v>1.05</v>
      </c>
      <c r="AV4" s="4">
        <v>1.1000000000000001</v>
      </c>
      <c r="AW4" s="4">
        <v>1.1499999999999999</v>
      </c>
      <c r="AX4" s="4">
        <v>1.2</v>
      </c>
      <c r="AY4" s="4">
        <v>1.25</v>
      </c>
      <c r="AZ4" s="4">
        <v>1.3</v>
      </c>
      <c r="BA4" s="4">
        <v>1.35</v>
      </c>
      <c r="BB4" s="4">
        <v>1.4</v>
      </c>
      <c r="BC4" s="4">
        <v>1.45</v>
      </c>
      <c r="BD4" s="4">
        <v>1.5</v>
      </c>
    </row>
    <row r="5" spans="1:56" x14ac:dyDescent="0.4">
      <c r="A5" s="27" t="s">
        <v>40</v>
      </c>
      <c r="B5" s="4">
        <v>8.3333299999999999E-2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D5" s="27" t="s">
        <v>40</v>
      </c>
      <c r="AE5" s="4">
        <v>8.3333299999999999E-2</v>
      </c>
      <c r="AF5" s="4">
        <f>C5+0.0001</f>
        <v>1E-4</v>
      </c>
      <c r="AG5" s="4">
        <f t="shared" ref="AG5:BD5" si="0">D5+0.0001</f>
        <v>1E-4</v>
      </c>
      <c r="AH5" s="4">
        <f t="shared" si="0"/>
        <v>1E-4</v>
      </c>
      <c r="AI5" s="4">
        <f t="shared" si="0"/>
        <v>1E-4</v>
      </c>
      <c r="AJ5" s="4">
        <f t="shared" si="0"/>
        <v>1E-4</v>
      </c>
      <c r="AK5" s="4">
        <f t="shared" si="0"/>
        <v>1E-4</v>
      </c>
      <c r="AL5" s="4">
        <f t="shared" si="0"/>
        <v>1E-4</v>
      </c>
      <c r="AM5" s="4">
        <f t="shared" si="0"/>
        <v>1E-4</v>
      </c>
      <c r="AN5" s="4">
        <f t="shared" si="0"/>
        <v>1E-4</v>
      </c>
      <c r="AO5" s="4">
        <f t="shared" si="0"/>
        <v>1E-4</v>
      </c>
      <c r="AP5" s="4">
        <f t="shared" si="0"/>
        <v>1E-4</v>
      </c>
      <c r="AQ5" s="4">
        <f t="shared" si="0"/>
        <v>1E-4</v>
      </c>
      <c r="AR5" s="4">
        <f t="shared" si="0"/>
        <v>1E-4</v>
      </c>
      <c r="AS5" s="4">
        <f t="shared" si="0"/>
        <v>1E-4</v>
      </c>
      <c r="AT5" s="4">
        <f t="shared" si="0"/>
        <v>1E-4</v>
      </c>
      <c r="AU5" s="4">
        <f t="shared" si="0"/>
        <v>1E-4</v>
      </c>
      <c r="AV5" s="4">
        <f t="shared" si="0"/>
        <v>1E-4</v>
      </c>
      <c r="AW5" s="4">
        <f t="shared" si="0"/>
        <v>1E-4</v>
      </c>
      <c r="AX5" s="4">
        <f t="shared" si="0"/>
        <v>1E-4</v>
      </c>
      <c r="AY5" s="4">
        <f t="shared" si="0"/>
        <v>1E-4</v>
      </c>
      <c r="AZ5" s="4">
        <f t="shared" si="0"/>
        <v>1E-4</v>
      </c>
      <c r="BA5" s="4">
        <f t="shared" si="0"/>
        <v>1E-4</v>
      </c>
      <c r="BB5" s="4">
        <f t="shared" si="0"/>
        <v>1E-4</v>
      </c>
      <c r="BC5" s="4">
        <f t="shared" si="0"/>
        <v>1E-4</v>
      </c>
      <c r="BD5" s="4">
        <f t="shared" si="0"/>
        <v>1E-4</v>
      </c>
    </row>
    <row r="6" spans="1:56" x14ac:dyDescent="0.4">
      <c r="A6" s="27"/>
      <c r="B6" s="4">
        <v>0.16666700000000001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D6" s="27"/>
      <c r="AE6" s="4">
        <v>0.16666700000000001</v>
      </c>
      <c r="AF6" s="4">
        <f t="shared" ref="AF6:AF13" si="1">C6+0.0001</f>
        <v>1E-4</v>
      </c>
      <c r="AG6" s="4">
        <f t="shared" ref="AG6:AG13" si="2">D6+0.0001</f>
        <v>1E-4</v>
      </c>
      <c r="AH6" s="4">
        <f t="shared" ref="AH6:AH13" si="3">E6+0.0001</f>
        <v>1E-4</v>
      </c>
      <c r="AI6" s="4">
        <f t="shared" ref="AI6:AI13" si="4">F6+0.0001</f>
        <v>1E-4</v>
      </c>
      <c r="AJ6" s="4">
        <f t="shared" ref="AJ6:AJ13" si="5">G6+0.0001</f>
        <v>1E-4</v>
      </c>
      <c r="AK6" s="4">
        <f t="shared" ref="AK6:AK13" si="6">H6+0.0001</f>
        <v>1E-4</v>
      </c>
      <c r="AL6" s="4">
        <f t="shared" ref="AL6:AL13" si="7">I6+0.0001</f>
        <v>1E-4</v>
      </c>
      <c r="AM6" s="4">
        <f t="shared" ref="AM6:AM13" si="8">J6+0.0001</f>
        <v>1E-4</v>
      </c>
      <c r="AN6" s="4">
        <f t="shared" ref="AN6:AN13" si="9">K6+0.0001</f>
        <v>1E-4</v>
      </c>
      <c r="AO6" s="4">
        <f t="shared" ref="AO6:AO13" si="10">L6+0.0001</f>
        <v>1E-4</v>
      </c>
      <c r="AP6" s="4">
        <f t="shared" ref="AP6:AP13" si="11">M6+0.0001</f>
        <v>1E-4</v>
      </c>
      <c r="AQ6" s="4">
        <f t="shared" ref="AQ6:AQ13" si="12">N6+0.0001</f>
        <v>1E-4</v>
      </c>
      <c r="AR6" s="4">
        <f t="shared" ref="AR6:AR13" si="13">O6+0.0001</f>
        <v>1E-4</v>
      </c>
      <c r="AS6" s="4">
        <f t="shared" ref="AS6:AS13" si="14">P6+0.0001</f>
        <v>1E-4</v>
      </c>
      <c r="AT6" s="4">
        <f t="shared" ref="AT6:AT13" si="15">Q6+0.0001</f>
        <v>1E-4</v>
      </c>
      <c r="AU6" s="4">
        <f t="shared" ref="AU6:AU13" si="16">R6+0.0001</f>
        <v>1E-4</v>
      </c>
      <c r="AV6" s="4">
        <f t="shared" ref="AV6:AV13" si="17">S6+0.0001</f>
        <v>1E-4</v>
      </c>
      <c r="AW6" s="4">
        <f t="shared" ref="AW6:AW13" si="18">T6+0.0001</f>
        <v>1E-4</v>
      </c>
      <c r="AX6" s="4">
        <f t="shared" ref="AX6:AX13" si="19">U6+0.0001</f>
        <v>1E-4</v>
      </c>
      <c r="AY6" s="4">
        <f t="shared" ref="AY6:AY13" si="20">V6+0.0001</f>
        <v>1E-4</v>
      </c>
      <c r="AZ6" s="4">
        <f t="shared" ref="AZ6:AZ13" si="21">W6+0.0001</f>
        <v>1E-4</v>
      </c>
      <c r="BA6" s="4">
        <f t="shared" ref="BA6:BA13" si="22">X6+0.0001</f>
        <v>1E-4</v>
      </c>
      <c r="BB6" s="4">
        <f t="shared" ref="BB6:BB13" si="23">Y6+0.0001</f>
        <v>1E-4</v>
      </c>
      <c r="BC6" s="4">
        <f t="shared" ref="BC6:BC13" si="24">Z6+0.0001</f>
        <v>1E-4</v>
      </c>
      <c r="BD6" s="4">
        <f t="shared" ref="BD6:BD13" si="25">AA6+0.0001</f>
        <v>1E-4</v>
      </c>
    </row>
    <row r="7" spans="1:56" x14ac:dyDescent="0.4">
      <c r="A7" s="27"/>
      <c r="B7" s="4">
        <v>0.25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D7" s="27"/>
      <c r="AE7" s="4">
        <v>0.25</v>
      </c>
      <c r="AF7" s="4">
        <f t="shared" si="1"/>
        <v>1E-4</v>
      </c>
      <c r="AG7" s="4">
        <f t="shared" si="2"/>
        <v>1E-4</v>
      </c>
      <c r="AH7" s="4">
        <f t="shared" si="3"/>
        <v>1E-4</v>
      </c>
      <c r="AI7" s="4">
        <f t="shared" si="4"/>
        <v>1E-4</v>
      </c>
      <c r="AJ7" s="4">
        <f t="shared" si="5"/>
        <v>1E-4</v>
      </c>
      <c r="AK7" s="4">
        <f t="shared" si="6"/>
        <v>1E-4</v>
      </c>
      <c r="AL7" s="4">
        <f t="shared" si="7"/>
        <v>1E-4</v>
      </c>
      <c r="AM7" s="4">
        <f t="shared" si="8"/>
        <v>1E-4</v>
      </c>
      <c r="AN7" s="4">
        <f t="shared" si="9"/>
        <v>1E-4</v>
      </c>
      <c r="AO7" s="4">
        <f t="shared" si="10"/>
        <v>1E-4</v>
      </c>
      <c r="AP7" s="4">
        <f t="shared" si="11"/>
        <v>1E-4</v>
      </c>
      <c r="AQ7" s="4">
        <f t="shared" si="12"/>
        <v>1E-4</v>
      </c>
      <c r="AR7" s="4">
        <f t="shared" si="13"/>
        <v>1E-4</v>
      </c>
      <c r="AS7" s="4">
        <f t="shared" si="14"/>
        <v>1E-4</v>
      </c>
      <c r="AT7" s="4">
        <f t="shared" si="15"/>
        <v>1E-4</v>
      </c>
      <c r="AU7" s="4">
        <f t="shared" si="16"/>
        <v>1E-4</v>
      </c>
      <c r="AV7" s="4">
        <f t="shared" si="17"/>
        <v>1E-4</v>
      </c>
      <c r="AW7" s="4">
        <f t="shared" si="18"/>
        <v>1E-4</v>
      </c>
      <c r="AX7" s="4">
        <f t="shared" si="19"/>
        <v>1E-4</v>
      </c>
      <c r="AY7" s="4">
        <f t="shared" si="20"/>
        <v>1E-4</v>
      </c>
      <c r="AZ7" s="4">
        <f t="shared" si="21"/>
        <v>1E-4</v>
      </c>
      <c r="BA7" s="4">
        <f t="shared" si="22"/>
        <v>1E-4</v>
      </c>
      <c r="BB7" s="4">
        <f t="shared" si="23"/>
        <v>1E-4</v>
      </c>
      <c r="BC7" s="4">
        <f t="shared" si="24"/>
        <v>1E-4</v>
      </c>
      <c r="BD7" s="4">
        <f t="shared" si="25"/>
        <v>1E-4</v>
      </c>
    </row>
    <row r="8" spans="1:56" x14ac:dyDescent="0.4">
      <c r="A8" s="27"/>
      <c r="B8" s="4">
        <v>0.5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0.179425</v>
      </c>
      <c r="Q8" s="4">
        <v>0.150279</v>
      </c>
      <c r="R8" s="4">
        <v>0.133522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D8" s="27"/>
      <c r="AE8" s="4">
        <v>0.5</v>
      </c>
      <c r="AF8" s="4">
        <f t="shared" si="1"/>
        <v>1E-4</v>
      </c>
      <c r="AG8" s="4">
        <f t="shared" si="2"/>
        <v>1E-4</v>
      </c>
      <c r="AH8" s="4">
        <f t="shared" si="3"/>
        <v>1E-4</v>
      </c>
      <c r="AI8" s="4">
        <f t="shared" si="4"/>
        <v>1E-4</v>
      </c>
      <c r="AJ8" s="4">
        <f t="shared" si="5"/>
        <v>1E-4</v>
      </c>
      <c r="AK8" s="4">
        <f t="shared" si="6"/>
        <v>1E-4</v>
      </c>
      <c r="AL8" s="4">
        <f t="shared" si="7"/>
        <v>1E-4</v>
      </c>
      <c r="AM8" s="4">
        <f t="shared" si="8"/>
        <v>1E-4</v>
      </c>
      <c r="AN8" s="4">
        <f t="shared" si="9"/>
        <v>1E-4</v>
      </c>
      <c r="AO8" s="4">
        <f t="shared" si="10"/>
        <v>1E-4</v>
      </c>
      <c r="AP8" s="4">
        <f t="shared" si="11"/>
        <v>1E-4</v>
      </c>
      <c r="AQ8" s="4">
        <f t="shared" si="12"/>
        <v>1E-4</v>
      </c>
      <c r="AR8" s="4">
        <f t="shared" si="13"/>
        <v>1E-4</v>
      </c>
      <c r="AS8" s="4">
        <f t="shared" si="14"/>
        <v>0.17952499999999999</v>
      </c>
      <c r="AT8" s="4">
        <f t="shared" si="15"/>
        <v>0.15037899999999998</v>
      </c>
      <c r="AU8" s="4">
        <f t="shared" si="16"/>
        <v>0.13362199999999999</v>
      </c>
      <c r="AV8" s="4">
        <f t="shared" si="17"/>
        <v>1E-4</v>
      </c>
      <c r="AW8" s="4">
        <f t="shared" si="18"/>
        <v>1E-4</v>
      </c>
      <c r="AX8" s="4">
        <f t="shared" si="19"/>
        <v>1E-4</v>
      </c>
      <c r="AY8" s="4">
        <f t="shared" si="20"/>
        <v>1E-4</v>
      </c>
      <c r="AZ8" s="4">
        <f t="shared" si="21"/>
        <v>1E-4</v>
      </c>
      <c r="BA8" s="4">
        <f t="shared" si="22"/>
        <v>1E-4</v>
      </c>
      <c r="BB8" s="4">
        <f t="shared" si="23"/>
        <v>1E-4</v>
      </c>
      <c r="BC8" s="4">
        <f t="shared" si="24"/>
        <v>1E-4</v>
      </c>
      <c r="BD8" s="4">
        <f t="shared" si="25"/>
        <v>1E-4</v>
      </c>
    </row>
    <row r="9" spans="1:56" x14ac:dyDescent="0.4">
      <c r="A9" s="27"/>
      <c r="B9" s="4">
        <v>0.75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D9" s="27"/>
      <c r="AE9" s="4">
        <v>0.75</v>
      </c>
      <c r="AF9" s="4">
        <f t="shared" si="1"/>
        <v>1E-4</v>
      </c>
      <c r="AG9" s="4">
        <f t="shared" si="2"/>
        <v>1E-4</v>
      </c>
      <c r="AH9" s="4">
        <f t="shared" si="3"/>
        <v>1E-4</v>
      </c>
      <c r="AI9" s="4">
        <f t="shared" si="4"/>
        <v>1E-4</v>
      </c>
      <c r="AJ9" s="4">
        <f t="shared" si="5"/>
        <v>1E-4</v>
      </c>
      <c r="AK9" s="4">
        <f t="shared" si="6"/>
        <v>1E-4</v>
      </c>
      <c r="AL9" s="4">
        <f t="shared" si="7"/>
        <v>1E-4</v>
      </c>
      <c r="AM9" s="4">
        <f t="shared" si="8"/>
        <v>1E-4</v>
      </c>
      <c r="AN9" s="4">
        <f t="shared" si="9"/>
        <v>1E-4</v>
      </c>
      <c r="AO9" s="4">
        <f t="shared" si="10"/>
        <v>1E-4</v>
      </c>
      <c r="AP9" s="4">
        <f t="shared" si="11"/>
        <v>1E-4</v>
      </c>
      <c r="AQ9" s="4">
        <f t="shared" si="12"/>
        <v>1E-4</v>
      </c>
      <c r="AR9" s="4">
        <f t="shared" si="13"/>
        <v>1E-4</v>
      </c>
      <c r="AS9" s="4">
        <f t="shared" si="14"/>
        <v>1E-4</v>
      </c>
      <c r="AT9" s="4">
        <f t="shared" si="15"/>
        <v>1E-4</v>
      </c>
      <c r="AU9" s="4">
        <f t="shared" si="16"/>
        <v>1E-4</v>
      </c>
      <c r="AV9" s="4">
        <f t="shared" si="17"/>
        <v>1E-4</v>
      </c>
      <c r="AW9" s="4">
        <f t="shared" si="18"/>
        <v>1E-4</v>
      </c>
      <c r="AX9" s="4">
        <f t="shared" si="19"/>
        <v>1E-4</v>
      </c>
      <c r="AY9" s="4">
        <f t="shared" si="20"/>
        <v>1E-4</v>
      </c>
      <c r="AZ9" s="4">
        <f t="shared" si="21"/>
        <v>1E-4</v>
      </c>
      <c r="BA9" s="4">
        <f t="shared" si="22"/>
        <v>1E-4</v>
      </c>
      <c r="BB9" s="4">
        <f t="shared" si="23"/>
        <v>1E-4</v>
      </c>
      <c r="BC9" s="4">
        <f t="shared" si="24"/>
        <v>1E-4</v>
      </c>
      <c r="BD9" s="4">
        <f t="shared" si="25"/>
        <v>1E-4</v>
      </c>
    </row>
    <row r="10" spans="1:56" x14ac:dyDescent="0.4">
      <c r="A10" s="27"/>
      <c r="B10" s="4">
        <v>1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0.145151</v>
      </c>
      <c r="Q10" s="4">
        <v>0.130801</v>
      </c>
      <c r="R10" s="4">
        <v>0.12486899999999999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D10" s="27"/>
      <c r="AE10" s="4">
        <v>1</v>
      </c>
      <c r="AF10" s="4">
        <f t="shared" si="1"/>
        <v>1E-4</v>
      </c>
      <c r="AG10" s="4">
        <f t="shared" si="2"/>
        <v>1E-4</v>
      </c>
      <c r="AH10" s="4">
        <f t="shared" si="3"/>
        <v>1E-4</v>
      </c>
      <c r="AI10" s="4">
        <f t="shared" si="4"/>
        <v>1E-4</v>
      </c>
      <c r="AJ10" s="4">
        <f t="shared" si="5"/>
        <v>1E-4</v>
      </c>
      <c r="AK10" s="4">
        <f t="shared" si="6"/>
        <v>1E-4</v>
      </c>
      <c r="AL10" s="4">
        <f t="shared" si="7"/>
        <v>1E-4</v>
      </c>
      <c r="AM10" s="4">
        <f t="shared" si="8"/>
        <v>1E-4</v>
      </c>
      <c r="AN10" s="4">
        <f t="shared" si="9"/>
        <v>1E-4</v>
      </c>
      <c r="AO10" s="4">
        <f t="shared" si="10"/>
        <v>1E-4</v>
      </c>
      <c r="AP10" s="4">
        <f t="shared" si="11"/>
        <v>1E-4</v>
      </c>
      <c r="AQ10" s="4">
        <f t="shared" si="12"/>
        <v>1E-4</v>
      </c>
      <c r="AR10" s="4">
        <f t="shared" si="13"/>
        <v>1E-4</v>
      </c>
      <c r="AS10" s="4">
        <f t="shared" si="14"/>
        <v>0.14525099999999999</v>
      </c>
      <c r="AT10" s="4">
        <f t="shared" si="15"/>
        <v>0.13090099999999999</v>
      </c>
      <c r="AU10" s="4">
        <f t="shared" si="16"/>
        <v>0.124969</v>
      </c>
      <c r="AV10" s="4">
        <f t="shared" si="17"/>
        <v>1E-4</v>
      </c>
      <c r="AW10" s="4">
        <f t="shared" si="18"/>
        <v>1E-4</v>
      </c>
      <c r="AX10" s="4">
        <f t="shared" si="19"/>
        <v>1E-4</v>
      </c>
      <c r="AY10" s="4">
        <f t="shared" si="20"/>
        <v>1E-4</v>
      </c>
      <c r="AZ10" s="4">
        <f t="shared" si="21"/>
        <v>1E-4</v>
      </c>
      <c r="BA10" s="4">
        <f t="shared" si="22"/>
        <v>1E-4</v>
      </c>
      <c r="BB10" s="4">
        <f t="shared" si="23"/>
        <v>1E-4</v>
      </c>
      <c r="BC10" s="4">
        <f t="shared" si="24"/>
        <v>1E-4</v>
      </c>
      <c r="BD10" s="4">
        <f t="shared" si="25"/>
        <v>1E-4</v>
      </c>
    </row>
    <row r="11" spans="1:56" x14ac:dyDescent="0.4">
      <c r="A11" s="27"/>
      <c r="B11" s="4">
        <v>1.5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D11" s="27"/>
      <c r="AE11" s="4">
        <v>1.5</v>
      </c>
      <c r="AF11" s="4">
        <f t="shared" si="1"/>
        <v>1E-4</v>
      </c>
      <c r="AG11" s="4">
        <f t="shared" si="2"/>
        <v>1E-4</v>
      </c>
      <c r="AH11" s="4">
        <f t="shared" si="3"/>
        <v>1E-4</v>
      </c>
      <c r="AI11" s="4">
        <f t="shared" si="4"/>
        <v>1E-4</v>
      </c>
      <c r="AJ11" s="4">
        <f t="shared" si="5"/>
        <v>1E-4</v>
      </c>
      <c r="AK11" s="4">
        <f t="shared" si="6"/>
        <v>1E-4</v>
      </c>
      <c r="AL11" s="4">
        <f t="shared" si="7"/>
        <v>1E-4</v>
      </c>
      <c r="AM11" s="4">
        <f t="shared" si="8"/>
        <v>1E-4</v>
      </c>
      <c r="AN11" s="4">
        <f t="shared" si="9"/>
        <v>1E-4</v>
      </c>
      <c r="AO11" s="4">
        <f t="shared" si="10"/>
        <v>1E-4</v>
      </c>
      <c r="AP11" s="4">
        <f t="shared" si="11"/>
        <v>1E-4</v>
      </c>
      <c r="AQ11" s="4">
        <f t="shared" si="12"/>
        <v>1E-4</v>
      </c>
      <c r="AR11" s="4">
        <f t="shared" si="13"/>
        <v>1E-4</v>
      </c>
      <c r="AS11" s="4">
        <f t="shared" si="14"/>
        <v>1E-4</v>
      </c>
      <c r="AT11" s="4">
        <f t="shared" si="15"/>
        <v>1E-4</v>
      </c>
      <c r="AU11" s="4">
        <f t="shared" si="16"/>
        <v>1E-4</v>
      </c>
      <c r="AV11" s="4">
        <f t="shared" si="17"/>
        <v>1E-4</v>
      </c>
      <c r="AW11" s="4">
        <f t="shared" si="18"/>
        <v>1E-4</v>
      </c>
      <c r="AX11" s="4">
        <f t="shared" si="19"/>
        <v>1E-4</v>
      </c>
      <c r="AY11" s="4">
        <f t="shared" si="20"/>
        <v>1E-4</v>
      </c>
      <c r="AZ11" s="4">
        <f t="shared" si="21"/>
        <v>1E-4</v>
      </c>
      <c r="BA11" s="4">
        <f t="shared" si="22"/>
        <v>1E-4</v>
      </c>
      <c r="BB11" s="4">
        <f t="shared" si="23"/>
        <v>1E-4</v>
      </c>
      <c r="BC11" s="4">
        <f t="shared" si="24"/>
        <v>1E-4</v>
      </c>
      <c r="BD11" s="4">
        <f t="shared" si="25"/>
        <v>1E-4</v>
      </c>
    </row>
    <row r="12" spans="1:56" x14ac:dyDescent="0.4">
      <c r="A12" s="27"/>
      <c r="B12" s="4">
        <v>2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D12" s="27"/>
      <c r="AE12" s="4">
        <v>2</v>
      </c>
      <c r="AF12" s="4">
        <f t="shared" si="1"/>
        <v>1E-4</v>
      </c>
      <c r="AG12" s="4">
        <f t="shared" si="2"/>
        <v>1E-4</v>
      </c>
      <c r="AH12" s="4">
        <f t="shared" si="3"/>
        <v>1E-4</v>
      </c>
      <c r="AI12" s="4">
        <f t="shared" si="4"/>
        <v>1E-4</v>
      </c>
      <c r="AJ12" s="4">
        <f t="shared" si="5"/>
        <v>1E-4</v>
      </c>
      <c r="AK12" s="4">
        <f t="shared" si="6"/>
        <v>1E-4</v>
      </c>
      <c r="AL12" s="4">
        <f t="shared" si="7"/>
        <v>1E-4</v>
      </c>
      <c r="AM12" s="4">
        <f t="shared" si="8"/>
        <v>1E-4</v>
      </c>
      <c r="AN12" s="4">
        <f t="shared" si="9"/>
        <v>1E-4</v>
      </c>
      <c r="AO12" s="4">
        <f t="shared" si="10"/>
        <v>1E-4</v>
      </c>
      <c r="AP12" s="4">
        <f t="shared" si="11"/>
        <v>1E-4</v>
      </c>
      <c r="AQ12" s="4">
        <f t="shared" si="12"/>
        <v>1E-4</v>
      </c>
      <c r="AR12" s="4">
        <f t="shared" si="13"/>
        <v>1E-4</v>
      </c>
      <c r="AS12" s="4">
        <f t="shared" si="14"/>
        <v>1E-4</v>
      </c>
      <c r="AT12" s="4">
        <f t="shared" si="15"/>
        <v>1E-4</v>
      </c>
      <c r="AU12" s="4">
        <f t="shared" si="16"/>
        <v>1E-4</v>
      </c>
      <c r="AV12" s="4">
        <f t="shared" si="17"/>
        <v>1E-4</v>
      </c>
      <c r="AW12" s="4">
        <f t="shared" si="18"/>
        <v>1E-4</v>
      </c>
      <c r="AX12" s="4">
        <f t="shared" si="19"/>
        <v>1E-4</v>
      </c>
      <c r="AY12" s="4">
        <f t="shared" si="20"/>
        <v>1E-4</v>
      </c>
      <c r="AZ12" s="4">
        <f t="shared" si="21"/>
        <v>1E-4</v>
      </c>
      <c r="BA12" s="4">
        <f t="shared" si="22"/>
        <v>1E-4</v>
      </c>
      <c r="BB12" s="4">
        <f t="shared" si="23"/>
        <v>1E-4</v>
      </c>
      <c r="BC12" s="4">
        <f t="shared" si="24"/>
        <v>1E-4</v>
      </c>
      <c r="BD12" s="4">
        <f t="shared" si="25"/>
        <v>1E-4</v>
      </c>
    </row>
    <row r="13" spans="1:56" x14ac:dyDescent="0.4">
      <c r="A13" s="27"/>
      <c r="B13" s="4">
        <v>3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0.15601499999999999</v>
      </c>
      <c r="Q13" s="4">
        <v>0.14848500000000001</v>
      </c>
      <c r="R13" s="4">
        <v>0.14301900000000001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D13" s="27"/>
      <c r="AE13" s="4">
        <v>3</v>
      </c>
      <c r="AF13" s="4">
        <f t="shared" si="1"/>
        <v>1E-4</v>
      </c>
      <c r="AG13" s="4">
        <f t="shared" si="2"/>
        <v>1E-4</v>
      </c>
      <c r="AH13" s="4">
        <f t="shared" si="3"/>
        <v>1E-4</v>
      </c>
      <c r="AI13" s="4">
        <f t="shared" si="4"/>
        <v>1E-4</v>
      </c>
      <c r="AJ13" s="4">
        <f t="shared" si="5"/>
        <v>1E-4</v>
      </c>
      <c r="AK13" s="4">
        <f t="shared" si="6"/>
        <v>1E-4</v>
      </c>
      <c r="AL13" s="4">
        <f t="shared" si="7"/>
        <v>1E-4</v>
      </c>
      <c r="AM13" s="4">
        <f t="shared" si="8"/>
        <v>1E-4</v>
      </c>
      <c r="AN13" s="4">
        <f t="shared" si="9"/>
        <v>1E-4</v>
      </c>
      <c r="AO13" s="4">
        <f t="shared" si="10"/>
        <v>1E-4</v>
      </c>
      <c r="AP13" s="4">
        <f t="shared" si="11"/>
        <v>1E-4</v>
      </c>
      <c r="AQ13" s="4">
        <f t="shared" si="12"/>
        <v>1E-4</v>
      </c>
      <c r="AR13" s="4">
        <f t="shared" si="13"/>
        <v>1E-4</v>
      </c>
      <c r="AS13" s="4">
        <f t="shared" si="14"/>
        <v>0.15611499999999998</v>
      </c>
      <c r="AT13" s="4">
        <f t="shared" si="15"/>
        <v>0.14858499999999999</v>
      </c>
      <c r="AU13" s="4">
        <f t="shared" si="16"/>
        <v>0.143119</v>
      </c>
      <c r="AV13" s="4">
        <f t="shared" si="17"/>
        <v>1E-4</v>
      </c>
      <c r="AW13" s="4">
        <f t="shared" si="18"/>
        <v>1E-4</v>
      </c>
      <c r="AX13" s="4">
        <f t="shared" si="19"/>
        <v>1E-4</v>
      </c>
      <c r="AY13" s="4">
        <f t="shared" si="20"/>
        <v>1E-4</v>
      </c>
      <c r="AZ13" s="4">
        <f t="shared" si="21"/>
        <v>1E-4</v>
      </c>
      <c r="BA13" s="4">
        <f t="shared" si="22"/>
        <v>1E-4</v>
      </c>
      <c r="BB13" s="4">
        <f t="shared" si="23"/>
        <v>1E-4</v>
      </c>
      <c r="BC13" s="4">
        <f t="shared" si="24"/>
        <v>1E-4</v>
      </c>
      <c r="BD13" s="4">
        <f t="shared" si="25"/>
        <v>1E-4</v>
      </c>
    </row>
    <row r="15" spans="1:56" x14ac:dyDescent="0.4">
      <c r="A15" s="7" t="s">
        <v>10</v>
      </c>
      <c r="B15" s="27" t="s">
        <v>44</v>
      </c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D15" s="7" t="s">
        <v>10</v>
      </c>
      <c r="AE15" s="27" t="s">
        <v>44</v>
      </c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</row>
    <row r="16" spans="1:56" x14ac:dyDescent="0.4">
      <c r="A16" s="7" t="s">
        <v>46</v>
      </c>
      <c r="C16" s="4">
        <v>0.3</v>
      </c>
      <c r="D16" s="4">
        <v>0.35</v>
      </c>
      <c r="E16" s="4">
        <v>0.4</v>
      </c>
      <c r="F16" s="4">
        <v>0.45</v>
      </c>
      <c r="G16" s="4">
        <v>0.5</v>
      </c>
      <c r="H16" s="4">
        <v>0.55000000000000004</v>
      </c>
      <c r="I16" s="4">
        <v>0.6</v>
      </c>
      <c r="J16" s="4">
        <v>0.65</v>
      </c>
      <c r="K16" s="4">
        <v>0.7</v>
      </c>
      <c r="L16" s="4">
        <v>0.75</v>
      </c>
      <c r="M16" s="4">
        <v>0.8</v>
      </c>
      <c r="N16" s="4">
        <v>0.85</v>
      </c>
      <c r="O16" s="4">
        <v>0.9</v>
      </c>
      <c r="P16" s="4">
        <v>0.95</v>
      </c>
      <c r="Q16" s="4">
        <v>1</v>
      </c>
      <c r="R16" s="4">
        <v>1.05</v>
      </c>
      <c r="S16" s="4">
        <v>1.1000000000000001</v>
      </c>
      <c r="T16" s="4">
        <v>1.1499999999999999</v>
      </c>
      <c r="U16" s="4">
        <v>1.2</v>
      </c>
      <c r="V16" s="4">
        <v>1.25</v>
      </c>
      <c r="W16" s="4">
        <v>1.3</v>
      </c>
      <c r="X16" s="4">
        <v>1.35</v>
      </c>
      <c r="Y16" s="4">
        <v>1.4</v>
      </c>
      <c r="Z16" s="4">
        <v>1.45</v>
      </c>
      <c r="AA16" s="4">
        <v>1.5</v>
      </c>
      <c r="AD16" s="7" t="s">
        <v>46</v>
      </c>
      <c r="AF16" s="4">
        <v>0.3</v>
      </c>
      <c r="AG16" s="4">
        <v>0.35</v>
      </c>
      <c r="AH16" s="4">
        <v>0.4</v>
      </c>
      <c r="AI16" s="4">
        <v>0.45</v>
      </c>
      <c r="AJ16" s="4">
        <v>0.5</v>
      </c>
      <c r="AK16" s="4">
        <v>0.55000000000000004</v>
      </c>
      <c r="AL16" s="4">
        <v>0.6</v>
      </c>
      <c r="AM16" s="4">
        <v>0.65</v>
      </c>
      <c r="AN16" s="4">
        <v>0.7</v>
      </c>
      <c r="AO16" s="4">
        <v>0.75</v>
      </c>
      <c r="AP16" s="4">
        <v>0.8</v>
      </c>
      <c r="AQ16" s="4">
        <v>0.85</v>
      </c>
      <c r="AR16" s="4">
        <v>0.9</v>
      </c>
      <c r="AS16" s="4">
        <v>0.95</v>
      </c>
      <c r="AT16" s="4">
        <v>1</v>
      </c>
      <c r="AU16" s="4">
        <v>1.05</v>
      </c>
      <c r="AV16" s="4">
        <v>1.1000000000000001</v>
      </c>
      <c r="AW16" s="4">
        <v>1.1499999999999999</v>
      </c>
      <c r="AX16" s="4">
        <v>1.2</v>
      </c>
      <c r="AY16" s="4">
        <v>1.25</v>
      </c>
      <c r="AZ16" s="4">
        <v>1.3</v>
      </c>
      <c r="BA16" s="4">
        <v>1.35</v>
      </c>
      <c r="BB16" s="4">
        <v>1.4</v>
      </c>
      <c r="BC16" s="4">
        <v>1.45</v>
      </c>
      <c r="BD16" s="4">
        <v>1.5</v>
      </c>
    </row>
    <row r="17" spans="1:56" x14ac:dyDescent="0.4">
      <c r="A17" s="27" t="s">
        <v>40</v>
      </c>
      <c r="B17" s="4">
        <v>8.3333299999999999E-2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D17" s="27" t="s">
        <v>40</v>
      </c>
      <c r="AE17" s="4">
        <v>8.3333299999999999E-2</v>
      </c>
      <c r="AF17" s="4">
        <f>C17+0.0001</f>
        <v>1E-4</v>
      </c>
      <c r="AG17" s="4">
        <f t="shared" ref="AG17:BD25" si="26">D17+0.0001</f>
        <v>1E-4</v>
      </c>
      <c r="AH17" s="4">
        <f t="shared" si="26"/>
        <v>1E-4</v>
      </c>
      <c r="AI17" s="4">
        <f t="shared" si="26"/>
        <v>1E-4</v>
      </c>
      <c r="AJ17" s="4">
        <f t="shared" si="26"/>
        <v>1E-4</v>
      </c>
      <c r="AK17" s="4">
        <f t="shared" si="26"/>
        <v>1E-4</v>
      </c>
      <c r="AL17" s="4">
        <f t="shared" si="26"/>
        <v>1E-4</v>
      </c>
      <c r="AM17" s="4">
        <f t="shared" si="26"/>
        <v>1E-4</v>
      </c>
      <c r="AN17" s="4">
        <f t="shared" si="26"/>
        <v>1E-4</v>
      </c>
      <c r="AO17" s="4">
        <f t="shared" si="26"/>
        <v>1E-4</v>
      </c>
      <c r="AP17" s="4">
        <f t="shared" si="26"/>
        <v>1E-4</v>
      </c>
      <c r="AQ17" s="4">
        <f t="shared" si="26"/>
        <v>1E-4</v>
      </c>
      <c r="AR17" s="4">
        <f t="shared" si="26"/>
        <v>1E-4</v>
      </c>
      <c r="AS17" s="4">
        <f t="shared" si="26"/>
        <v>1E-4</v>
      </c>
      <c r="AT17" s="4">
        <f t="shared" si="26"/>
        <v>1E-4</v>
      </c>
      <c r="AU17" s="4">
        <f t="shared" si="26"/>
        <v>1E-4</v>
      </c>
      <c r="AV17" s="4">
        <f t="shared" si="26"/>
        <v>1E-4</v>
      </c>
      <c r="AW17" s="4">
        <f t="shared" si="26"/>
        <v>1E-4</v>
      </c>
      <c r="AX17" s="4">
        <f t="shared" si="26"/>
        <v>1E-4</v>
      </c>
      <c r="AY17" s="4">
        <f t="shared" si="26"/>
        <v>1E-4</v>
      </c>
      <c r="AZ17" s="4">
        <f t="shared" si="26"/>
        <v>1E-4</v>
      </c>
      <c r="BA17" s="4">
        <f t="shared" si="26"/>
        <v>1E-4</v>
      </c>
      <c r="BB17" s="4">
        <f t="shared" si="26"/>
        <v>1E-4</v>
      </c>
      <c r="BC17" s="4">
        <f t="shared" si="26"/>
        <v>1E-4</v>
      </c>
      <c r="BD17" s="4">
        <f t="shared" si="26"/>
        <v>1E-4</v>
      </c>
    </row>
    <row r="18" spans="1:56" x14ac:dyDescent="0.4">
      <c r="A18" s="27"/>
      <c r="B18" s="4">
        <v>0.16666700000000001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D18" s="27"/>
      <c r="AE18" s="4">
        <v>0.16666700000000001</v>
      </c>
      <c r="AF18" s="4">
        <f t="shared" ref="AF18:AF25" si="27">C18+0.0001</f>
        <v>1E-4</v>
      </c>
      <c r="AG18" s="4">
        <f t="shared" si="26"/>
        <v>1E-4</v>
      </c>
      <c r="AH18" s="4">
        <f t="shared" si="26"/>
        <v>1E-4</v>
      </c>
      <c r="AI18" s="4">
        <f t="shared" si="26"/>
        <v>1E-4</v>
      </c>
      <c r="AJ18" s="4">
        <f t="shared" si="26"/>
        <v>1E-4</v>
      </c>
      <c r="AK18" s="4">
        <f t="shared" si="26"/>
        <v>1E-4</v>
      </c>
      <c r="AL18" s="4">
        <f t="shared" si="26"/>
        <v>1E-4</v>
      </c>
      <c r="AM18" s="4">
        <f t="shared" si="26"/>
        <v>1E-4</v>
      </c>
      <c r="AN18" s="4">
        <f t="shared" si="26"/>
        <v>1E-4</v>
      </c>
      <c r="AO18" s="4">
        <f t="shared" si="26"/>
        <v>1E-4</v>
      </c>
      <c r="AP18" s="4">
        <f t="shared" si="26"/>
        <v>1E-4</v>
      </c>
      <c r="AQ18" s="4">
        <f t="shared" si="26"/>
        <v>1E-4</v>
      </c>
      <c r="AR18" s="4">
        <f t="shared" si="26"/>
        <v>1E-4</v>
      </c>
      <c r="AS18" s="4">
        <f t="shared" si="26"/>
        <v>1E-4</v>
      </c>
      <c r="AT18" s="4">
        <f t="shared" si="26"/>
        <v>1E-4</v>
      </c>
      <c r="AU18" s="4">
        <f t="shared" si="26"/>
        <v>1E-4</v>
      </c>
      <c r="AV18" s="4">
        <f t="shared" si="26"/>
        <v>1E-4</v>
      </c>
      <c r="AW18" s="4">
        <f t="shared" si="26"/>
        <v>1E-4</v>
      </c>
      <c r="AX18" s="4">
        <f t="shared" si="26"/>
        <v>1E-4</v>
      </c>
      <c r="AY18" s="4">
        <f t="shared" si="26"/>
        <v>1E-4</v>
      </c>
      <c r="AZ18" s="4">
        <f t="shared" si="26"/>
        <v>1E-4</v>
      </c>
      <c r="BA18" s="4">
        <f t="shared" si="26"/>
        <v>1E-4</v>
      </c>
      <c r="BB18" s="4">
        <f t="shared" si="26"/>
        <v>1E-4</v>
      </c>
      <c r="BC18" s="4">
        <f t="shared" si="26"/>
        <v>1E-4</v>
      </c>
      <c r="BD18" s="4">
        <f t="shared" si="26"/>
        <v>1E-4</v>
      </c>
    </row>
    <row r="19" spans="1:56" x14ac:dyDescent="0.4">
      <c r="A19" s="27"/>
      <c r="B19" s="4">
        <v>0.25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D19" s="27"/>
      <c r="AE19" s="4">
        <v>0.25</v>
      </c>
      <c r="AF19" s="4">
        <f t="shared" si="27"/>
        <v>1E-4</v>
      </c>
      <c r="AG19" s="4">
        <f t="shared" si="26"/>
        <v>1E-4</v>
      </c>
      <c r="AH19" s="4">
        <f t="shared" si="26"/>
        <v>1E-4</v>
      </c>
      <c r="AI19" s="4">
        <f t="shared" si="26"/>
        <v>1E-4</v>
      </c>
      <c r="AJ19" s="4">
        <f t="shared" si="26"/>
        <v>1E-4</v>
      </c>
      <c r="AK19" s="4">
        <f t="shared" si="26"/>
        <v>1E-4</v>
      </c>
      <c r="AL19" s="4">
        <f t="shared" si="26"/>
        <v>1E-4</v>
      </c>
      <c r="AM19" s="4">
        <f t="shared" si="26"/>
        <v>1E-4</v>
      </c>
      <c r="AN19" s="4">
        <f t="shared" si="26"/>
        <v>1E-4</v>
      </c>
      <c r="AO19" s="4">
        <f t="shared" si="26"/>
        <v>1E-4</v>
      </c>
      <c r="AP19" s="4">
        <f t="shared" si="26"/>
        <v>1E-4</v>
      </c>
      <c r="AQ19" s="4">
        <f t="shared" si="26"/>
        <v>1E-4</v>
      </c>
      <c r="AR19" s="4">
        <f t="shared" si="26"/>
        <v>1E-4</v>
      </c>
      <c r="AS19" s="4">
        <f t="shared" si="26"/>
        <v>1E-4</v>
      </c>
      <c r="AT19" s="4">
        <f t="shared" si="26"/>
        <v>1E-4</v>
      </c>
      <c r="AU19" s="4">
        <f t="shared" si="26"/>
        <v>1E-4</v>
      </c>
      <c r="AV19" s="4">
        <f t="shared" si="26"/>
        <v>1E-4</v>
      </c>
      <c r="AW19" s="4">
        <f t="shared" si="26"/>
        <v>1E-4</v>
      </c>
      <c r="AX19" s="4">
        <f t="shared" si="26"/>
        <v>1E-4</v>
      </c>
      <c r="AY19" s="4">
        <f t="shared" si="26"/>
        <v>1E-4</v>
      </c>
      <c r="AZ19" s="4">
        <f t="shared" si="26"/>
        <v>1E-4</v>
      </c>
      <c r="BA19" s="4">
        <f t="shared" si="26"/>
        <v>1E-4</v>
      </c>
      <c r="BB19" s="4">
        <f t="shared" si="26"/>
        <v>1E-4</v>
      </c>
      <c r="BC19" s="4">
        <f t="shared" si="26"/>
        <v>1E-4</v>
      </c>
      <c r="BD19" s="4">
        <f t="shared" si="26"/>
        <v>1E-4</v>
      </c>
    </row>
    <row r="20" spans="1:56" x14ac:dyDescent="0.4">
      <c r="A20" s="27"/>
      <c r="B20" s="4">
        <v>0.5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0.19008</v>
      </c>
      <c r="Q20" s="4">
        <v>0.16672999999999999</v>
      </c>
      <c r="R20" s="4">
        <v>0.15939999999999999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D20" s="27"/>
      <c r="AE20" s="4">
        <v>0.5</v>
      </c>
      <c r="AF20" s="4">
        <f t="shared" si="27"/>
        <v>1E-4</v>
      </c>
      <c r="AG20" s="4">
        <f t="shared" si="26"/>
        <v>1E-4</v>
      </c>
      <c r="AH20" s="4">
        <f t="shared" si="26"/>
        <v>1E-4</v>
      </c>
      <c r="AI20" s="4">
        <f t="shared" si="26"/>
        <v>1E-4</v>
      </c>
      <c r="AJ20" s="4">
        <f t="shared" si="26"/>
        <v>1E-4</v>
      </c>
      <c r="AK20" s="4">
        <f t="shared" si="26"/>
        <v>1E-4</v>
      </c>
      <c r="AL20" s="4">
        <f t="shared" si="26"/>
        <v>1E-4</v>
      </c>
      <c r="AM20" s="4">
        <f t="shared" si="26"/>
        <v>1E-4</v>
      </c>
      <c r="AN20" s="4">
        <f t="shared" si="26"/>
        <v>1E-4</v>
      </c>
      <c r="AO20" s="4">
        <f t="shared" si="26"/>
        <v>1E-4</v>
      </c>
      <c r="AP20" s="4">
        <f t="shared" si="26"/>
        <v>1E-4</v>
      </c>
      <c r="AQ20" s="4">
        <f t="shared" si="26"/>
        <v>1E-4</v>
      </c>
      <c r="AR20" s="4">
        <f t="shared" si="26"/>
        <v>1E-4</v>
      </c>
      <c r="AS20" s="4">
        <f t="shared" si="26"/>
        <v>0.19017999999999999</v>
      </c>
      <c r="AT20" s="4">
        <f t="shared" si="26"/>
        <v>0.16682999999999998</v>
      </c>
      <c r="AU20" s="4">
        <f t="shared" si="26"/>
        <v>0.15949999999999998</v>
      </c>
      <c r="AV20" s="4">
        <f t="shared" si="26"/>
        <v>1E-4</v>
      </c>
      <c r="AW20" s="4">
        <f t="shared" si="26"/>
        <v>1E-4</v>
      </c>
      <c r="AX20" s="4">
        <f t="shared" si="26"/>
        <v>1E-4</v>
      </c>
      <c r="AY20" s="4">
        <f t="shared" si="26"/>
        <v>1E-4</v>
      </c>
      <c r="AZ20" s="4">
        <f t="shared" si="26"/>
        <v>1E-4</v>
      </c>
      <c r="BA20" s="4">
        <f t="shared" si="26"/>
        <v>1E-4</v>
      </c>
      <c r="BB20" s="4">
        <f t="shared" si="26"/>
        <v>1E-4</v>
      </c>
      <c r="BC20" s="4">
        <f t="shared" si="26"/>
        <v>1E-4</v>
      </c>
      <c r="BD20" s="4">
        <f t="shared" si="26"/>
        <v>1E-4</v>
      </c>
    </row>
    <row r="21" spans="1:56" x14ac:dyDescent="0.4">
      <c r="A21" s="27"/>
      <c r="B21" s="4">
        <v>0.75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D21" s="27"/>
      <c r="AE21" s="4">
        <v>0.75</v>
      </c>
      <c r="AF21" s="4">
        <f t="shared" si="27"/>
        <v>1E-4</v>
      </c>
      <c r="AG21" s="4">
        <f t="shared" si="26"/>
        <v>1E-4</v>
      </c>
      <c r="AH21" s="4">
        <f t="shared" si="26"/>
        <v>1E-4</v>
      </c>
      <c r="AI21" s="4">
        <f t="shared" si="26"/>
        <v>1E-4</v>
      </c>
      <c r="AJ21" s="4">
        <f t="shared" si="26"/>
        <v>1E-4</v>
      </c>
      <c r="AK21" s="4">
        <f t="shared" si="26"/>
        <v>1E-4</v>
      </c>
      <c r="AL21" s="4">
        <f t="shared" si="26"/>
        <v>1E-4</v>
      </c>
      <c r="AM21" s="4">
        <f t="shared" si="26"/>
        <v>1E-4</v>
      </c>
      <c r="AN21" s="4">
        <f t="shared" si="26"/>
        <v>1E-4</v>
      </c>
      <c r="AO21" s="4">
        <f t="shared" si="26"/>
        <v>1E-4</v>
      </c>
      <c r="AP21" s="4">
        <f t="shared" si="26"/>
        <v>1E-4</v>
      </c>
      <c r="AQ21" s="4">
        <f t="shared" si="26"/>
        <v>1E-4</v>
      </c>
      <c r="AR21" s="4">
        <f t="shared" si="26"/>
        <v>1E-4</v>
      </c>
      <c r="AS21" s="4">
        <f t="shared" si="26"/>
        <v>1E-4</v>
      </c>
      <c r="AT21" s="4">
        <f t="shared" si="26"/>
        <v>1E-4</v>
      </c>
      <c r="AU21" s="4">
        <f t="shared" si="26"/>
        <v>1E-4</v>
      </c>
      <c r="AV21" s="4">
        <f t="shared" si="26"/>
        <v>1E-4</v>
      </c>
      <c r="AW21" s="4">
        <f t="shared" si="26"/>
        <v>1E-4</v>
      </c>
      <c r="AX21" s="4">
        <f t="shared" si="26"/>
        <v>1E-4</v>
      </c>
      <c r="AY21" s="4">
        <f t="shared" si="26"/>
        <v>1E-4</v>
      </c>
      <c r="AZ21" s="4">
        <f t="shared" si="26"/>
        <v>1E-4</v>
      </c>
      <c r="BA21" s="4">
        <f t="shared" si="26"/>
        <v>1E-4</v>
      </c>
      <c r="BB21" s="4">
        <f t="shared" si="26"/>
        <v>1E-4</v>
      </c>
      <c r="BC21" s="4">
        <f t="shared" si="26"/>
        <v>1E-4</v>
      </c>
      <c r="BD21" s="4">
        <f t="shared" si="26"/>
        <v>1E-4</v>
      </c>
    </row>
    <row r="22" spans="1:56" x14ac:dyDescent="0.4">
      <c r="A22" s="27"/>
      <c r="B22" s="4">
        <v>1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0.19625400000000001</v>
      </c>
      <c r="Q22" s="4">
        <v>0.18328700000000001</v>
      </c>
      <c r="R22" s="4">
        <v>0.176237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D22" s="27"/>
      <c r="AE22" s="4">
        <v>1</v>
      </c>
      <c r="AF22" s="4">
        <f t="shared" si="27"/>
        <v>1E-4</v>
      </c>
      <c r="AG22" s="4">
        <f t="shared" si="26"/>
        <v>1E-4</v>
      </c>
      <c r="AH22" s="4">
        <f t="shared" si="26"/>
        <v>1E-4</v>
      </c>
      <c r="AI22" s="4">
        <f t="shared" si="26"/>
        <v>1E-4</v>
      </c>
      <c r="AJ22" s="4">
        <f t="shared" si="26"/>
        <v>1E-4</v>
      </c>
      <c r="AK22" s="4">
        <f t="shared" si="26"/>
        <v>1E-4</v>
      </c>
      <c r="AL22" s="4">
        <f t="shared" si="26"/>
        <v>1E-4</v>
      </c>
      <c r="AM22" s="4">
        <f t="shared" si="26"/>
        <v>1E-4</v>
      </c>
      <c r="AN22" s="4">
        <f t="shared" si="26"/>
        <v>1E-4</v>
      </c>
      <c r="AO22" s="4">
        <f t="shared" si="26"/>
        <v>1E-4</v>
      </c>
      <c r="AP22" s="4">
        <f t="shared" si="26"/>
        <v>1E-4</v>
      </c>
      <c r="AQ22" s="4">
        <f t="shared" si="26"/>
        <v>1E-4</v>
      </c>
      <c r="AR22" s="4">
        <f t="shared" si="26"/>
        <v>1E-4</v>
      </c>
      <c r="AS22" s="4">
        <f t="shared" si="26"/>
        <v>0.196354</v>
      </c>
      <c r="AT22" s="4">
        <f t="shared" si="26"/>
        <v>0.18338699999999999</v>
      </c>
      <c r="AU22" s="4">
        <f t="shared" si="26"/>
        <v>0.17633699999999999</v>
      </c>
      <c r="AV22" s="4">
        <f t="shared" si="26"/>
        <v>1E-4</v>
      </c>
      <c r="AW22" s="4">
        <f t="shared" si="26"/>
        <v>1E-4</v>
      </c>
      <c r="AX22" s="4">
        <f t="shared" si="26"/>
        <v>1E-4</v>
      </c>
      <c r="AY22" s="4">
        <f t="shared" si="26"/>
        <v>1E-4</v>
      </c>
      <c r="AZ22" s="4">
        <f t="shared" si="26"/>
        <v>1E-4</v>
      </c>
      <c r="BA22" s="4">
        <f t="shared" si="26"/>
        <v>1E-4</v>
      </c>
      <c r="BB22" s="4">
        <f t="shared" si="26"/>
        <v>1E-4</v>
      </c>
      <c r="BC22" s="4">
        <f t="shared" si="26"/>
        <v>1E-4</v>
      </c>
      <c r="BD22" s="4">
        <f t="shared" si="26"/>
        <v>1E-4</v>
      </c>
    </row>
    <row r="23" spans="1:56" x14ac:dyDescent="0.4">
      <c r="A23" s="27"/>
      <c r="B23" s="4">
        <v>1.5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D23" s="27"/>
      <c r="AE23" s="4">
        <v>1.5</v>
      </c>
      <c r="AF23" s="4">
        <f t="shared" si="27"/>
        <v>1E-4</v>
      </c>
      <c r="AG23" s="4">
        <f t="shared" si="26"/>
        <v>1E-4</v>
      </c>
      <c r="AH23" s="4">
        <f t="shared" si="26"/>
        <v>1E-4</v>
      </c>
      <c r="AI23" s="4">
        <f t="shared" si="26"/>
        <v>1E-4</v>
      </c>
      <c r="AJ23" s="4">
        <f t="shared" si="26"/>
        <v>1E-4</v>
      </c>
      <c r="AK23" s="4">
        <f t="shared" si="26"/>
        <v>1E-4</v>
      </c>
      <c r="AL23" s="4">
        <f t="shared" si="26"/>
        <v>1E-4</v>
      </c>
      <c r="AM23" s="4">
        <f t="shared" si="26"/>
        <v>1E-4</v>
      </c>
      <c r="AN23" s="4">
        <f t="shared" si="26"/>
        <v>1E-4</v>
      </c>
      <c r="AO23" s="4">
        <f t="shared" si="26"/>
        <v>1E-4</v>
      </c>
      <c r="AP23" s="4">
        <f t="shared" si="26"/>
        <v>1E-4</v>
      </c>
      <c r="AQ23" s="4">
        <f t="shared" si="26"/>
        <v>1E-4</v>
      </c>
      <c r="AR23" s="4">
        <f t="shared" si="26"/>
        <v>1E-4</v>
      </c>
      <c r="AS23" s="4">
        <f t="shared" si="26"/>
        <v>1E-4</v>
      </c>
      <c r="AT23" s="4">
        <f t="shared" si="26"/>
        <v>1E-4</v>
      </c>
      <c r="AU23" s="4">
        <f t="shared" si="26"/>
        <v>1E-4</v>
      </c>
      <c r="AV23" s="4">
        <f t="shared" si="26"/>
        <v>1E-4</v>
      </c>
      <c r="AW23" s="4">
        <f t="shared" si="26"/>
        <v>1E-4</v>
      </c>
      <c r="AX23" s="4">
        <f t="shared" si="26"/>
        <v>1E-4</v>
      </c>
      <c r="AY23" s="4">
        <f t="shared" si="26"/>
        <v>1E-4</v>
      </c>
      <c r="AZ23" s="4">
        <f t="shared" si="26"/>
        <v>1E-4</v>
      </c>
      <c r="BA23" s="4">
        <f t="shared" si="26"/>
        <v>1E-4</v>
      </c>
      <c r="BB23" s="4">
        <f t="shared" si="26"/>
        <v>1E-4</v>
      </c>
      <c r="BC23" s="4">
        <f t="shared" si="26"/>
        <v>1E-4</v>
      </c>
      <c r="BD23" s="4">
        <f t="shared" si="26"/>
        <v>1E-4</v>
      </c>
    </row>
    <row r="24" spans="1:56" x14ac:dyDescent="0.4">
      <c r="A24" s="27"/>
      <c r="B24" s="4">
        <v>2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D24" s="27"/>
      <c r="AE24" s="4">
        <v>2</v>
      </c>
      <c r="AF24" s="4">
        <f t="shared" si="27"/>
        <v>1E-4</v>
      </c>
      <c r="AG24" s="4">
        <f t="shared" si="26"/>
        <v>1E-4</v>
      </c>
      <c r="AH24" s="4">
        <f t="shared" si="26"/>
        <v>1E-4</v>
      </c>
      <c r="AI24" s="4">
        <f t="shared" si="26"/>
        <v>1E-4</v>
      </c>
      <c r="AJ24" s="4">
        <f t="shared" si="26"/>
        <v>1E-4</v>
      </c>
      <c r="AK24" s="4">
        <f t="shared" si="26"/>
        <v>1E-4</v>
      </c>
      <c r="AL24" s="4">
        <f t="shared" si="26"/>
        <v>1E-4</v>
      </c>
      <c r="AM24" s="4">
        <f t="shared" si="26"/>
        <v>1E-4</v>
      </c>
      <c r="AN24" s="4">
        <f t="shared" si="26"/>
        <v>1E-4</v>
      </c>
      <c r="AO24" s="4">
        <f t="shared" si="26"/>
        <v>1E-4</v>
      </c>
      <c r="AP24" s="4">
        <f t="shared" si="26"/>
        <v>1E-4</v>
      </c>
      <c r="AQ24" s="4">
        <f t="shared" si="26"/>
        <v>1E-4</v>
      </c>
      <c r="AR24" s="4">
        <f t="shared" si="26"/>
        <v>1E-4</v>
      </c>
      <c r="AS24" s="4">
        <f t="shared" si="26"/>
        <v>1E-4</v>
      </c>
      <c r="AT24" s="4">
        <f t="shared" si="26"/>
        <v>1E-4</v>
      </c>
      <c r="AU24" s="4">
        <f t="shared" si="26"/>
        <v>1E-4</v>
      </c>
      <c r="AV24" s="4">
        <f t="shared" si="26"/>
        <v>1E-4</v>
      </c>
      <c r="AW24" s="4">
        <f t="shared" si="26"/>
        <v>1E-4</v>
      </c>
      <c r="AX24" s="4">
        <f t="shared" si="26"/>
        <v>1E-4</v>
      </c>
      <c r="AY24" s="4">
        <f t="shared" si="26"/>
        <v>1E-4</v>
      </c>
      <c r="AZ24" s="4">
        <f t="shared" si="26"/>
        <v>1E-4</v>
      </c>
      <c r="BA24" s="4">
        <f t="shared" si="26"/>
        <v>1E-4</v>
      </c>
      <c r="BB24" s="4">
        <f t="shared" si="26"/>
        <v>1E-4</v>
      </c>
      <c r="BC24" s="4">
        <f t="shared" si="26"/>
        <v>1E-4</v>
      </c>
      <c r="BD24" s="4">
        <f t="shared" si="26"/>
        <v>1E-4</v>
      </c>
    </row>
    <row r="25" spans="1:56" x14ac:dyDescent="0.4">
      <c r="A25" s="27"/>
      <c r="B25" s="4">
        <v>3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0.20252899999999999</v>
      </c>
      <c r="Q25" s="4">
        <v>0.198097</v>
      </c>
      <c r="R25" s="4">
        <v>0.194664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D25" s="27"/>
      <c r="AE25" s="4">
        <v>3</v>
      </c>
      <c r="AF25" s="4">
        <f t="shared" si="27"/>
        <v>1E-4</v>
      </c>
      <c r="AG25" s="4">
        <f t="shared" si="26"/>
        <v>1E-4</v>
      </c>
      <c r="AH25" s="4">
        <f t="shared" si="26"/>
        <v>1E-4</v>
      </c>
      <c r="AI25" s="4">
        <f t="shared" si="26"/>
        <v>1E-4</v>
      </c>
      <c r="AJ25" s="4">
        <f t="shared" si="26"/>
        <v>1E-4</v>
      </c>
      <c r="AK25" s="4">
        <f t="shared" si="26"/>
        <v>1E-4</v>
      </c>
      <c r="AL25" s="4">
        <f t="shared" si="26"/>
        <v>1E-4</v>
      </c>
      <c r="AM25" s="4">
        <f t="shared" si="26"/>
        <v>1E-4</v>
      </c>
      <c r="AN25" s="4">
        <f t="shared" si="26"/>
        <v>1E-4</v>
      </c>
      <c r="AO25" s="4">
        <f t="shared" si="26"/>
        <v>1E-4</v>
      </c>
      <c r="AP25" s="4">
        <f t="shared" si="26"/>
        <v>1E-4</v>
      </c>
      <c r="AQ25" s="4">
        <f t="shared" si="26"/>
        <v>1E-4</v>
      </c>
      <c r="AR25" s="4">
        <f t="shared" si="26"/>
        <v>1E-4</v>
      </c>
      <c r="AS25" s="4">
        <f t="shared" si="26"/>
        <v>0.20262899999999998</v>
      </c>
      <c r="AT25" s="4">
        <f t="shared" si="26"/>
        <v>0.19819699999999998</v>
      </c>
      <c r="AU25" s="4">
        <f t="shared" si="26"/>
        <v>0.19476399999999999</v>
      </c>
      <c r="AV25" s="4">
        <f t="shared" si="26"/>
        <v>1E-4</v>
      </c>
      <c r="AW25" s="4">
        <f t="shared" si="26"/>
        <v>1E-4</v>
      </c>
      <c r="AX25" s="4">
        <f t="shared" si="26"/>
        <v>1E-4</v>
      </c>
      <c r="AY25" s="4">
        <f t="shared" si="26"/>
        <v>1E-4</v>
      </c>
      <c r="AZ25" s="4">
        <f t="shared" si="26"/>
        <v>1E-4</v>
      </c>
      <c r="BA25" s="4">
        <f t="shared" si="26"/>
        <v>1E-4</v>
      </c>
      <c r="BB25" s="4">
        <f t="shared" si="26"/>
        <v>1E-4</v>
      </c>
      <c r="BC25" s="4">
        <f t="shared" si="26"/>
        <v>1E-4</v>
      </c>
      <c r="BD25" s="4">
        <f t="shared" si="26"/>
        <v>1E-4</v>
      </c>
    </row>
    <row r="27" spans="1:56" x14ac:dyDescent="0.4">
      <c r="A27" s="7" t="s">
        <v>10</v>
      </c>
      <c r="B27" s="27" t="s">
        <v>44</v>
      </c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D27" s="7" t="s">
        <v>10</v>
      </c>
      <c r="AE27" s="27" t="s">
        <v>44</v>
      </c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</row>
    <row r="28" spans="1:56" x14ac:dyDescent="0.4">
      <c r="A28" s="7" t="s">
        <v>47</v>
      </c>
      <c r="C28" s="4">
        <v>0.3</v>
      </c>
      <c r="D28" s="4">
        <v>0.35</v>
      </c>
      <c r="E28" s="4">
        <v>0.4</v>
      </c>
      <c r="F28" s="4">
        <v>0.45</v>
      </c>
      <c r="G28" s="4">
        <v>0.5</v>
      </c>
      <c r="H28" s="4">
        <v>0.55000000000000004</v>
      </c>
      <c r="I28" s="4">
        <v>0.6</v>
      </c>
      <c r="J28" s="4">
        <v>0.65</v>
      </c>
      <c r="K28" s="4">
        <v>0.7</v>
      </c>
      <c r="L28" s="4">
        <v>0.75</v>
      </c>
      <c r="M28" s="4">
        <v>0.8</v>
      </c>
      <c r="N28" s="4">
        <v>0.85</v>
      </c>
      <c r="O28" s="4">
        <v>0.9</v>
      </c>
      <c r="P28" s="4">
        <v>0.95</v>
      </c>
      <c r="Q28" s="4">
        <v>1</v>
      </c>
      <c r="R28" s="4">
        <v>1.05</v>
      </c>
      <c r="S28" s="4">
        <v>1.1000000000000001</v>
      </c>
      <c r="T28" s="4">
        <v>1.1499999999999999</v>
      </c>
      <c r="U28" s="4">
        <v>1.2</v>
      </c>
      <c r="V28" s="4">
        <v>1.25</v>
      </c>
      <c r="W28" s="4">
        <v>1.3</v>
      </c>
      <c r="X28" s="4">
        <v>1.35</v>
      </c>
      <c r="Y28" s="4">
        <v>1.4</v>
      </c>
      <c r="Z28" s="4">
        <v>1.45</v>
      </c>
      <c r="AA28" s="4">
        <v>1.5</v>
      </c>
      <c r="AD28" s="7" t="s">
        <v>47</v>
      </c>
      <c r="AF28" s="4">
        <v>0.3</v>
      </c>
      <c r="AG28" s="4">
        <v>0.35</v>
      </c>
      <c r="AH28" s="4">
        <v>0.4</v>
      </c>
      <c r="AI28" s="4">
        <v>0.45</v>
      </c>
      <c r="AJ28" s="4">
        <v>0.5</v>
      </c>
      <c r="AK28" s="4">
        <v>0.55000000000000004</v>
      </c>
      <c r="AL28" s="4">
        <v>0.6</v>
      </c>
      <c r="AM28" s="4">
        <v>0.65</v>
      </c>
      <c r="AN28" s="4">
        <v>0.7</v>
      </c>
      <c r="AO28" s="4">
        <v>0.75</v>
      </c>
      <c r="AP28" s="4">
        <v>0.8</v>
      </c>
      <c r="AQ28" s="4">
        <v>0.85</v>
      </c>
      <c r="AR28" s="4">
        <v>0.9</v>
      </c>
      <c r="AS28" s="4">
        <v>0.95</v>
      </c>
      <c r="AT28" s="4">
        <v>1</v>
      </c>
      <c r="AU28" s="4">
        <v>1.05</v>
      </c>
      <c r="AV28" s="4">
        <v>1.1000000000000001</v>
      </c>
      <c r="AW28" s="4">
        <v>1.1499999999999999</v>
      </c>
      <c r="AX28" s="4">
        <v>1.2</v>
      </c>
      <c r="AY28" s="4">
        <v>1.25</v>
      </c>
      <c r="AZ28" s="4">
        <v>1.3</v>
      </c>
      <c r="BA28" s="4">
        <v>1.35</v>
      </c>
      <c r="BB28" s="4">
        <v>1.4</v>
      </c>
      <c r="BC28" s="4">
        <v>1.45</v>
      </c>
      <c r="BD28" s="4">
        <v>1.5</v>
      </c>
    </row>
    <row r="29" spans="1:56" x14ac:dyDescent="0.4">
      <c r="A29" s="27" t="s">
        <v>40</v>
      </c>
      <c r="B29" s="4">
        <v>8.3333299999999999E-2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D29" s="27" t="s">
        <v>40</v>
      </c>
      <c r="AE29" s="4">
        <v>8.3333299999999999E-2</v>
      </c>
      <c r="AF29" s="4">
        <f>C29+0.0001</f>
        <v>1E-4</v>
      </c>
      <c r="AG29" s="4">
        <f t="shared" ref="AG29:BD37" si="28">D29+0.0001</f>
        <v>1E-4</v>
      </c>
      <c r="AH29" s="4">
        <f t="shared" si="28"/>
        <v>1E-4</v>
      </c>
      <c r="AI29" s="4">
        <f t="shared" si="28"/>
        <v>1E-4</v>
      </c>
      <c r="AJ29" s="4">
        <f t="shared" si="28"/>
        <v>1E-4</v>
      </c>
      <c r="AK29" s="4">
        <f t="shared" si="28"/>
        <v>1E-4</v>
      </c>
      <c r="AL29" s="4">
        <f t="shared" si="28"/>
        <v>1E-4</v>
      </c>
      <c r="AM29" s="4">
        <f t="shared" si="28"/>
        <v>1E-4</v>
      </c>
      <c r="AN29" s="4">
        <f t="shared" si="28"/>
        <v>1E-4</v>
      </c>
      <c r="AO29" s="4">
        <f t="shared" si="28"/>
        <v>1E-4</v>
      </c>
      <c r="AP29" s="4">
        <f t="shared" si="28"/>
        <v>1E-4</v>
      </c>
      <c r="AQ29" s="4">
        <f t="shared" si="28"/>
        <v>1E-4</v>
      </c>
      <c r="AR29" s="4">
        <f t="shared" si="28"/>
        <v>1E-4</v>
      </c>
      <c r="AS29" s="4">
        <f t="shared" si="28"/>
        <v>1E-4</v>
      </c>
      <c r="AT29" s="4">
        <f t="shared" si="28"/>
        <v>1E-4</v>
      </c>
      <c r="AU29" s="4">
        <f t="shared" si="28"/>
        <v>1E-4</v>
      </c>
      <c r="AV29" s="4">
        <f t="shared" si="28"/>
        <v>1E-4</v>
      </c>
      <c r="AW29" s="4">
        <f t="shared" si="28"/>
        <v>1E-4</v>
      </c>
      <c r="AX29" s="4">
        <f t="shared" si="28"/>
        <v>1E-4</v>
      </c>
      <c r="AY29" s="4">
        <f t="shared" si="28"/>
        <v>1E-4</v>
      </c>
      <c r="AZ29" s="4">
        <f t="shared" si="28"/>
        <v>1E-4</v>
      </c>
      <c r="BA29" s="4">
        <f t="shared" si="28"/>
        <v>1E-4</v>
      </c>
      <c r="BB29" s="4">
        <f t="shared" si="28"/>
        <v>1E-4</v>
      </c>
      <c r="BC29" s="4">
        <f t="shared" si="28"/>
        <v>1E-4</v>
      </c>
      <c r="BD29" s="4">
        <f t="shared" si="28"/>
        <v>1E-4</v>
      </c>
    </row>
    <row r="30" spans="1:56" x14ac:dyDescent="0.4">
      <c r="A30" s="27"/>
      <c r="B30" s="4">
        <v>0.16666700000000001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D30" s="27"/>
      <c r="AE30" s="4">
        <v>0.16666700000000001</v>
      </c>
      <c r="AF30" s="4">
        <f t="shared" ref="AF30:AF37" si="29">C30+0.0001</f>
        <v>1E-4</v>
      </c>
      <c r="AG30" s="4">
        <f t="shared" si="28"/>
        <v>1E-4</v>
      </c>
      <c r="AH30" s="4">
        <f t="shared" si="28"/>
        <v>1E-4</v>
      </c>
      <c r="AI30" s="4">
        <f t="shared" si="28"/>
        <v>1E-4</v>
      </c>
      <c r="AJ30" s="4">
        <f t="shared" si="28"/>
        <v>1E-4</v>
      </c>
      <c r="AK30" s="4">
        <f t="shared" si="28"/>
        <v>1E-4</v>
      </c>
      <c r="AL30" s="4">
        <f t="shared" si="28"/>
        <v>1E-4</v>
      </c>
      <c r="AM30" s="4">
        <f t="shared" si="28"/>
        <v>1E-4</v>
      </c>
      <c r="AN30" s="4">
        <f t="shared" si="28"/>
        <v>1E-4</v>
      </c>
      <c r="AO30" s="4">
        <f t="shared" si="28"/>
        <v>1E-4</v>
      </c>
      <c r="AP30" s="4">
        <f t="shared" si="28"/>
        <v>1E-4</v>
      </c>
      <c r="AQ30" s="4">
        <f t="shared" si="28"/>
        <v>1E-4</v>
      </c>
      <c r="AR30" s="4">
        <f t="shared" si="28"/>
        <v>1E-4</v>
      </c>
      <c r="AS30" s="4">
        <f t="shared" si="28"/>
        <v>1E-4</v>
      </c>
      <c r="AT30" s="4">
        <f t="shared" si="28"/>
        <v>1E-4</v>
      </c>
      <c r="AU30" s="4">
        <f t="shared" si="28"/>
        <v>1E-4</v>
      </c>
      <c r="AV30" s="4">
        <f t="shared" si="28"/>
        <v>1E-4</v>
      </c>
      <c r="AW30" s="4">
        <f t="shared" si="28"/>
        <v>1E-4</v>
      </c>
      <c r="AX30" s="4">
        <f t="shared" si="28"/>
        <v>1E-4</v>
      </c>
      <c r="AY30" s="4">
        <f t="shared" si="28"/>
        <v>1E-4</v>
      </c>
      <c r="AZ30" s="4">
        <f t="shared" si="28"/>
        <v>1E-4</v>
      </c>
      <c r="BA30" s="4">
        <f t="shared" si="28"/>
        <v>1E-4</v>
      </c>
      <c r="BB30" s="4">
        <f t="shared" si="28"/>
        <v>1E-4</v>
      </c>
      <c r="BC30" s="4">
        <f t="shared" si="28"/>
        <v>1E-4</v>
      </c>
      <c r="BD30" s="4">
        <f t="shared" si="28"/>
        <v>1E-4</v>
      </c>
    </row>
    <row r="31" spans="1:56" x14ac:dyDescent="0.4">
      <c r="A31" s="27"/>
      <c r="B31" s="4">
        <v>0.25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D31" s="27"/>
      <c r="AE31" s="4">
        <v>0.25</v>
      </c>
      <c r="AF31" s="4">
        <f t="shared" si="29"/>
        <v>1E-4</v>
      </c>
      <c r="AG31" s="4">
        <f t="shared" si="28"/>
        <v>1E-4</v>
      </c>
      <c r="AH31" s="4">
        <f t="shared" si="28"/>
        <v>1E-4</v>
      </c>
      <c r="AI31" s="4">
        <f t="shared" si="28"/>
        <v>1E-4</v>
      </c>
      <c r="AJ31" s="4">
        <f t="shared" si="28"/>
        <v>1E-4</v>
      </c>
      <c r="AK31" s="4">
        <f t="shared" si="28"/>
        <v>1E-4</v>
      </c>
      <c r="AL31" s="4">
        <f t="shared" si="28"/>
        <v>1E-4</v>
      </c>
      <c r="AM31" s="4">
        <f t="shared" si="28"/>
        <v>1E-4</v>
      </c>
      <c r="AN31" s="4">
        <f t="shared" si="28"/>
        <v>1E-4</v>
      </c>
      <c r="AO31" s="4">
        <f t="shared" si="28"/>
        <v>1E-4</v>
      </c>
      <c r="AP31" s="4">
        <f t="shared" si="28"/>
        <v>1E-4</v>
      </c>
      <c r="AQ31" s="4">
        <f t="shared" si="28"/>
        <v>1E-4</v>
      </c>
      <c r="AR31" s="4">
        <f t="shared" si="28"/>
        <v>1E-4</v>
      </c>
      <c r="AS31" s="4">
        <f t="shared" si="28"/>
        <v>1E-4</v>
      </c>
      <c r="AT31" s="4">
        <f t="shared" si="28"/>
        <v>1E-4</v>
      </c>
      <c r="AU31" s="4">
        <f t="shared" si="28"/>
        <v>1E-4</v>
      </c>
      <c r="AV31" s="4">
        <f t="shared" si="28"/>
        <v>1E-4</v>
      </c>
      <c r="AW31" s="4">
        <f t="shared" si="28"/>
        <v>1E-4</v>
      </c>
      <c r="AX31" s="4">
        <f t="shared" si="28"/>
        <v>1E-4</v>
      </c>
      <c r="AY31" s="4">
        <f t="shared" si="28"/>
        <v>1E-4</v>
      </c>
      <c r="AZ31" s="4">
        <f t="shared" si="28"/>
        <v>1E-4</v>
      </c>
      <c r="BA31" s="4">
        <f t="shared" si="28"/>
        <v>1E-4</v>
      </c>
      <c r="BB31" s="4">
        <f t="shared" si="28"/>
        <v>1E-4</v>
      </c>
      <c r="BC31" s="4">
        <f t="shared" si="28"/>
        <v>1E-4</v>
      </c>
      <c r="BD31" s="4">
        <f t="shared" si="28"/>
        <v>1E-4</v>
      </c>
    </row>
    <row r="32" spans="1:56" x14ac:dyDescent="0.4">
      <c r="A32" s="27"/>
      <c r="B32" s="4">
        <v>0.5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0.22780400000000001</v>
      </c>
      <c r="Q32" s="4">
        <v>0.21990499999999999</v>
      </c>
      <c r="R32" s="4">
        <v>0.216504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D32" s="27"/>
      <c r="AE32" s="4">
        <v>0.5</v>
      </c>
      <c r="AF32" s="4">
        <f t="shared" si="29"/>
        <v>1E-4</v>
      </c>
      <c r="AG32" s="4">
        <f t="shared" si="28"/>
        <v>1E-4</v>
      </c>
      <c r="AH32" s="4">
        <f t="shared" si="28"/>
        <v>1E-4</v>
      </c>
      <c r="AI32" s="4">
        <f t="shared" si="28"/>
        <v>1E-4</v>
      </c>
      <c r="AJ32" s="4">
        <f t="shared" si="28"/>
        <v>1E-4</v>
      </c>
      <c r="AK32" s="4">
        <f t="shared" si="28"/>
        <v>1E-4</v>
      </c>
      <c r="AL32" s="4">
        <f t="shared" si="28"/>
        <v>1E-4</v>
      </c>
      <c r="AM32" s="4">
        <f t="shared" si="28"/>
        <v>1E-4</v>
      </c>
      <c r="AN32" s="4">
        <f t="shared" si="28"/>
        <v>1E-4</v>
      </c>
      <c r="AO32" s="4">
        <f t="shared" si="28"/>
        <v>1E-4</v>
      </c>
      <c r="AP32" s="4">
        <f t="shared" si="28"/>
        <v>1E-4</v>
      </c>
      <c r="AQ32" s="4">
        <f t="shared" si="28"/>
        <v>1E-4</v>
      </c>
      <c r="AR32" s="4">
        <f t="shared" si="28"/>
        <v>1E-4</v>
      </c>
      <c r="AS32" s="4">
        <f t="shared" si="28"/>
        <v>0.227904</v>
      </c>
      <c r="AT32" s="4">
        <f t="shared" si="28"/>
        <v>0.22000499999999998</v>
      </c>
      <c r="AU32" s="4">
        <f t="shared" si="28"/>
        <v>0.21660399999999999</v>
      </c>
      <c r="AV32" s="4">
        <f t="shared" si="28"/>
        <v>1E-4</v>
      </c>
      <c r="AW32" s="4">
        <f t="shared" si="28"/>
        <v>1E-4</v>
      </c>
      <c r="AX32" s="4">
        <f t="shared" si="28"/>
        <v>1E-4</v>
      </c>
      <c r="AY32" s="4">
        <f t="shared" si="28"/>
        <v>1E-4</v>
      </c>
      <c r="AZ32" s="4">
        <f t="shared" si="28"/>
        <v>1E-4</v>
      </c>
      <c r="BA32" s="4">
        <f t="shared" si="28"/>
        <v>1E-4</v>
      </c>
      <c r="BB32" s="4">
        <f t="shared" si="28"/>
        <v>1E-4</v>
      </c>
      <c r="BC32" s="4">
        <f t="shared" si="28"/>
        <v>1E-4</v>
      </c>
      <c r="BD32" s="4">
        <f t="shared" si="28"/>
        <v>1E-4</v>
      </c>
    </row>
    <row r="33" spans="1:56" x14ac:dyDescent="0.4">
      <c r="A33" s="27"/>
      <c r="B33" s="4">
        <v>0.75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D33" s="27"/>
      <c r="AE33" s="4">
        <v>0.75</v>
      </c>
      <c r="AF33" s="4">
        <f t="shared" si="29"/>
        <v>1E-4</v>
      </c>
      <c r="AG33" s="4">
        <f t="shared" si="28"/>
        <v>1E-4</v>
      </c>
      <c r="AH33" s="4">
        <f t="shared" si="28"/>
        <v>1E-4</v>
      </c>
      <c r="AI33" s="4">
        <f t="shared" si="28"/>
        <v>1E-4</v>
      </c>
      <c r="AJ33" s="4">
        <f t="shared" si="28"/>
        <v>1E-4</v>
      </c>
      <c r="AK33" s="4">
        <f t="shared" si="28"/>
        <v>1E-4</v>
      </c>
      <c r="AL33" s="4">
        <f t="shared" si="28"/>
        <v>1E-4</v>
      </c>
      <c r="AM33" s="4">
        <f t="shared" si="28"/>
        <v>1E-4</v>
      </c>
      <c r="AN33" s="4">
        <f t="shared" si="28"/>
        <v>1E-4</v>
      </c>
      <c r="AO33" s="4">
        <f t="shared" si="28"/>
        <v>1E-4</v>
      </c>
      <c r="AP33" s="4">
        <f t="shared" si="28"/>
        <v>1E-4</v>
      </c>
      <c r="AQ33" s="4">
        <f t="shared" si="28"/>
        <v>1E-4</v>
      </c>
      <c r="AR33" s="4">
        <f t="shared" si="28"/>
        <v>1E-4</v>
      </c>
      <c r="AS33" s="4">
        <f t="shared" si="28"/>
        <v>1E-4</v>
      </c>
      <c r="AT33" s="4">
        <f t="shared" si="28"/>
        <v>1E-4</v>
      </c>
      <c r="AU33" s="4">
        <f t="shared" si="28"/>
        <v>1E-4</v>
      </c>
      <c r="AV33" s="4">
        <f t="shared" si="28"/>
        <v>1E-4</v>
      </c>
      <c r="AW33" s="4">
        <f t="shared" si="28"/>
        <v>1E-4</v>
      </c>
      <c r="AX33" s="4">
        <f t="shared" si="28"/>
        <v>1E-4</v>
      </c>
      <c r="AY33" s="4">
        <f t="shared" si="28"/>
        <v>1E-4</v>
      </c>
      <c r="AZ33" s="4">
        <f t="shared" si="28"/>
        <v>1E-4</v>
      </c>
      <c r="BA33" s="4">
        <f t="shared" si="28"/>
        <v>1E-4</v>
      </c>
      <c r="BB33" s="4">
        <f t="shared" si="28"/>
        <v>1E-4</v>
      </c>
      <c r="BC33" s="4">
        <f t="shared" si="28"/>
        <v>1E-4</v>
      </c>
      <c r="BD33" s="4">
        <f t="shared" si="28"/>
        <v>1E-4</v>
      </c>
    </row>
    <row r="34" spans="1:56" x14ac:dyDescent="0.4">
      <c r="A34" s="27"/>
      <c r="B34" s="4">
        <v>1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0.23363400000000001</v>
      </c>
      <c r="Q34" s="4">
        <v>0.229874</v>
      </c>
      <c r="R34" s="4">
        <v>0.22745299999999999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D34" s="27"/>
      <c r="AE34" s="4">
        <v>1</v>
      </c>
      <c r="AF34" s="4">
        <f t="shared" si="29"/>
        <v>1E-4</v>
      </c>
      <c r="AG34" s="4">
        <f t="shared" si="28"/>
        <v>1E-4</v>
      </c>
      <c r="AH34" s="4">
        <f t="shared" si="28"/>
        <v>1E-4</v>
      </c>
      <c r="AI34" s="4">
        <f t="shared" si="28"/>
        <v>1E-4</v>
      </c>
      <c r="AJ34" s="4">
        <f t="shared" si="28"/>
        <v>1E-4</v>
      </c>
      <c r="AK34" s="4">
        <f t="shared" si="28"/>
        <v>1E-4</v>
      </c>
      <c r="AL34" s="4">
        <f t="shared" si="28"/>
        <v>1E-4</v>
      </c>
      <c r="AM34" s="4">
        <f t="shared" si="28"/>
        <v>1E-4</v>
      </c>
      <c r="AN34" s="4">
        <f t="shared" si="28"/>
        <v>1E-4</v>
      </c>
      <c r="AO34" s="4">
        <f t="shared" si="28"/>
        <v>1E-4</v>
      </c>
      <c r="AP34" s="4">
        <f t="shared" si="28"/>
        <v>1E-4</v>
      </c>
      <c r="AQ34" s="4">
        <f t="shared" si="28"/>
        <v>1E-4</v>
      </c>
      <c r="AR34" s="4">
        <f t="shared" si="28"/>
        <v>1E-4</v>
      </c>
      <c r="AS34" s="4">
        <f t="shared" si="28"/>
        <v>0.233734</v>
      </c>
      <c r="AT34" s="4">
        <f t="shared" si="28"/>
        <v>0.22997399999999998</v>
      </c>
      <c r="AU34" s="4">
        <f t="shared" si="28"/>
        <v>0.22755299999999998</v>
      </c>
      <c r="AV34" s="4">
        <f t="shared" si="28"/>
        <v>1E-4</v>
      </c>
      <c r="AW34" s="4">
        <f t="shared" si="28"/>
        <v>1E-4</v>
      </c>
      <c r="AX34" s="4">
        <f t="shared" si="28"/>
        <v>1E-4</v>
      </c>
      <c r="AY34" s="4">
        <f t="shared" si="28"/>
        <v>1E-4</v>
      </c>
      <c r="AZ34" s="4">
        <f t="shared" si="28"/>
        <v>1E-4</v>
      </c>
      <c r="BA34" s="4">
        <f t="shared" si="28"/>
        <v>1E-4</v>
      </c>
      <c r="BB34" s="4">
        <f t="shared" si="28"/>
        <v>1E-4</v>
      </c>
      <c r="BC34" s="4">
        <f t="shared" si="28"/>
        <v>1E-4</v>
      </c>
      <c r="BD34" s="4">
        <f t="shared" si="28"/>
        <v>1E-4</v>
      </c>
    </row>
    <row r="35" spans="1:56" x14ac:dyDescent="0.4">
      <c r="A35" s="27"/>
      <c r="B35" s="4">
        <v>1.5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D35" s="27"/>
      <c r="AE35" s="4">
        <v>1.5</v>
      </c>
      <c r="AF35" s="4">
        <f t="shared" si="29"/>
        <v>1E-4</v>
      </c>
      <c r="AG35" s="4">
        <f t="shared" si="28"/>
        <v>1E-4</v>
      </c>
      <c r="AH35" s="4">
        <f t="shared" si="28"/>
        <v>1E-4</v>
      </c>
      <c r="AI35" s="4">
        <f t="shared" si="28"/>
        <v>1E-4</v>
      </c>
      <c r="AJ35" s="4">
        <f t="shared" si="28"/>
        <v>1E-4</v>
      </c>
      <c r="AK35" s="4">
        <f t="shared" si="28"/>
        <v>1E-4</v>
      </c>
      <c r="AL35" s="4">
        <f t="shared" si="28"/>
        <v>1E-4</v>
      </c>
      <c r="AM35" s="4">
        <f t="shared" si="28"/>
        <v>1E-4</v>
      </c>
      <c r="AN35" s="4">
        <f t="shared" si="28"/>
        <v>1E-4</v>
      </c>
      <c r="AO35" s="4">
        <f t="shared" si="28"/>
        <v>1E-4</v>
      </c>
      <c r="AP35" s="4">
        <f t="shared" si="28"/>
        <v>1E-4</v>
      </c>
      <c r="AQ35" s="4">
        <f t="shared" si="28"/>
        <v>1E-4</v>
      </c>
      <c r="AR35" s="4">
        <f t="shared" si="28"/>
        <v>1E-4</v>
      </c>
      <c r="AS35" s="4">
        <f t="shared" si="28"/>
        <v>1E-4</v>
      </c>
      <c r="AT35" s="4">
        <f t="shared" si="28"/>
        <v>1E-4</v>
      </c>
      <c r="AU35" s="4">
        <f t="shared" si="28"/>
        <v>1E-4</v>
      </c>
      <c r="AV35" s="4">
        <f t="shared" si="28"/>
        <v>1E-4</v>
      </c>
      <c r="AW35" s="4">
        <f t="shared" si="28"/>
        <v>1E-4</v>
      </c>
      <c r="AX35" s="4">
        <f t="shared" si="28"/>
        <v>1E-4</v>
      </c>
      <c r="AY35" s="4">
        <f t="shared" si="28"/>
        <v>1E-4</v>
      </c>
      <c r="AZ35" s="4">
        <f t="shared" si="28"/>
        <v>1E-4</v>
      </c>
      <c r="BA35" s="4">
        <f t="shared" si="28"/>
        <v>1E-4</v>
      </c>
      <c r="BB35" s="4">
        <f t="shared" si="28"/>
        <v>1E-4</v>
      </c>
      <c r="BC35" s="4">
        <f t="shared" si="28"/>
        <v>1E-4</v>
      </c>
      <c r="BD35" s="4">
        <f t="shared" si="28"/>
        <v>1E-4</v>
      </c>
    </row>
    <row r="36" spans="1:56" x14ac:dyDescent="0.4">
      <c r="A36" s="27"/>
      <c r="B36" s="4">
        <v>2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D36" s="27"/>
      <c r="AE36" s="4">
        <v>2</v>
      </c>
      <c r="AF36" s="4">
        <f t="shared" si="29"/>
        <v>1E-4</v>
      </c>
      <c r="AG36" s="4">
        <f t="shared" si="28"/>
        <v>1E-4</v>
      </c>
      <c r="AH36" s="4">
        <f t="shared" si="28"/>
        <v>1E-4</v>
      </c>
      <c r="AI36" s="4">
        <f t="shared" si="28"/>
        <v>1E-4</v>
      </c>
      <c r="AJ36" s="4">
        <f t="shared" si="28"/>
        <v>1E-4</v>
      </c>
      <c r="AK36" s="4">
        <f t="shared" si="28"/>
        <v>1E-4</v>
      </c>
      <c r="AL36" s="4">
        <f t="shared" si="28"/>
        <v>1E-4</v>
      </c>
      <c r="AM36" s="4">
        <f t="shared" si="28"/>
        <v>1E-4</v>
      </c>
      <c r="AN36" s="4">
        <f t="shared" si="28"/>
        <v>1E-4</v>
      </c>
      <c r="AO36" s="4">
        <f t="shared" si="28"/>
        <v>1E-4</v>
      </c>
      <c r="AP36" s="4">
        <f t="shared" si="28"/>
        <v>1E-4</v>
      </c>
      <c r="AQ36" s="4">
        <f t="shared" si="28"/>
        <v>1E-4</v>
      </c>
      <c r="AR36" s="4">
        <f t="shared" si="28"/>
        <v>1E-4</v>
      </c>
      <c r="AS36" s="4">
        <f t="shared" si="28"/>
        <v>1E-4</v>
      </c>
      <c r="AT36" s="4">
        <f t="shared" si="28"/>
        <v>1E-4</v>
      </c>
      <c r="AU36" s="4">
        <f t="shared" si="28"/>
        <v>1E-4</v>
      </c>
      <c r="AV36" s="4">
        <f t="shared" si="28"/>
        <v>1E-4</v>
      </c>
      <c r="AW36" s="4">
        <f t="shared" si="28"/>
        <v>1E-4</v>
      </c>
      <c r="AX36" s="4">
        <f t="shared" si="28"/>
        <v>1E-4</v>
      </c>
      <c r="AY36" s="4">
        <f t="shared" si="28"/>
        <v>1E-4</v>
      </c>
      <c r="AZ36" s="4">
        <f t="shared" si="28"/>
        <v>1E-4</v>
      </c>
      <c r="BA36" s="4">
        <f t="shared" si="28"/>
        <v>1E-4</v>
      </c>
      <c r="BB36" s="4">
        <f t="shared" si="28"/>
        <v>1E-4</v>
      </c>
      <c r="BC36" s="4">
        <f t="shared" si="28"/>
        <v>1E-4</v>
      </c>
      <c r="BD36" s="4">
        <f t="shared" si="28"/>
        <v>1E-4</v>
      </c>
    </row>
    <row r="37" spans="1:56" x14ac:dyDescent="0.4">
      <c r="A37" s="27"/>
      <c r="B37" s="4">
        <v>3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0.235735</v>
      </c>
      <c r="Q37" s="4">
        <v>0.23483399999999999</v>
      </c>
      <c r="R37" s="4">
        <v>0.23416200000000001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D37" s="27"/>
      <c r="AE37" s="4">
        <v>3</v>
      </c>
      <c r="AF37" s="4">
        <f t="shared" si="29"/>
        <v>1E-4</v>
      </c>
      <c r="AG37" s="4">
        <f t="shared" si="28"/>
        <v>1E-4</v>
      </c>
      <c r="AH37" s="4">
        <f t="shared" si="28"/>
        <v>1E-4</v>
      </c>
      <c r="AI37" s="4">
        <f t="shared" si="28"/>
        <v>1E-4</v>
      </c>
      <c r="AJ37" s="4">
        <f t="shared" si="28"/>
        <v>1E-4</v>
      </c>
      <c r="AK37" s="4">
        <f t="shared" si="28"/>
        <v>1E-4</v>
      </c>
      <c r="AL37" s="4">
        <f t="shared" si="28"/>
        <v>1E-4</v>
      </c>
      <c r="AM37" s="4">
        <f t="shared" si="28"/>
        <v>1E-4</v>
      </c>
      <c r="AN37" s="4">
        <f t="shared" si="28"/>
        <v>1E-4</v>
      </c>
      <c r="AO37" s="4">
        <f t="shared" si="28"/>
        <v>1E-4</v>
      </c>
      <c r="AP37" s="4">
        <f t="shared" si="28"/>
        <v>1E-4</v>
      </c>
      <c r="AQ37" s="4">
        <f t="shared" si="28"/>
        <v>1E-4</v>
      </c>
      <c r="AR37" s="4">
        <f t="shared" si="28"/>
        <v>1E-4</v>
      </c>
      <c r="AS37" s="4">
        <f t="shared" si="28"/>
        <v>0.23583499999999999</v>
      </c>
      <c r="AT37" s="4">
        <f t="shared" si="28"/>
        <v>0.23493399999999998</v>
      </c>
      <c r="AU37" s="4">
        <f t="shared" si="28"/>
        <v>0.234262</v>
      </c>
      <c r="AV37" s="4">
        <f t="shared" si="28"/>
        <v>1E-4</v>
      </c>
      <c r="AW37" s="4">
        <f t="shared" si="28"/>
        <v>1E-4</v>
      </c>
      <c r="AX37" s="4">
        <f t="shared" si="28"/>
        <v>1E-4</v>
      </c>
      <c r="AY37" s="4">
        <f t="shared" si="28"/>
        <v>1E-4</v>
      </c>
      <c r="AZ37" s="4">
        <f t="shared" si="28"/>
        <v>1E-4</v>
      </c>
      <c r="BA37" s="4">
        <f t="shared" si="28"/>
        <v>1E-4</v>
      </c>
      <c r="BB37" s="4">
        <f t="shared" si="28"/>
        <v>1E-4</v>
      </c>
      <c r="BC37" s="4">
        <f t="shared" si="28"/>
        <v>1E-4</v>
      </c>
      <c r="BD37" s="4">
        <f t="shared" si="28"/>
        <v>1E-4</v>
      </c>
    </row>
    <row r="39" spans="1:56" x14ac:dyDescent="0.4">
      <c r="A39" s="7" t="s">
        <v>10</v>
      </c>
      <c r="B39" s="27" t="s">
        <v>44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D39" s="7" t="s">
        <v>10</v>
      </c>
      <c r="AE39" s="27" t="s">
        <v>44</v>
      </c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</row>
    <row r="40" spans="1:56" x14ac:dyDescent="0.4">
      <c r="A40" s="7" t="s">
        <v>48</v>
      </c>
      <c r="C40" s="4">
        <v>0.3</v>
      </c>
      <c r="D40" s="4">
        <v>0.35</v>
      </c>
      <c r="E40" s="4">
        <v>0.4</v>
      </c>
      <c r="F40" s="4">
        <v>0.45</v>
      </c>
      <c r="G40" s="4">
        <v>0.5</v>
      </c>
      <c r="H40" s="4">
        <v>0.55000000000000004</v>
      </c>
      <c r="I40" s="4">
        <v>0.6</v>
      </c>
      <c r="J40" s="4">
        <v>0.65</v>
      </c>
      <c r="K40" s="4">
        <v>0.7</v>
      </c>
      <c r="L40" s="4">
        <v>0.75</v>
      </c>
      <c r="M40" s="4">
        <v>0.8</v>
      </c>
      <c r="N40" s="4">
        <v>0.85</v>
      </c>
      <c r="O40" s="4">
        <v>0.9</v>
      </c>
      <c r="P40" s="4">
        <v>0.95</v>
      </c>
      <c r="Q40" s="4">
        <v>1</v>
      </c>
      <c r="R40" s="4">
        <v>1.05</v>
      </c>
      <c r="S40" s="4">
        <v>1.1000000000000001</v>
      </c>
      <c r="T40" s="4">
        <v>1.1499999999999999</v>
      </c>
      <c r="U40" s="4">
        <v>1.2</v>
      </c>
      <c r="V40" s="4">
        <v>1.25</v>
      </c>
      <c r="W40" s="4">
        <v>1.3</v>
      </c>
      <c r="X40" s="4">
        <v>1.35</v>
      </c>
      <c r="Y40" s="4">
        <v>1.4</v>
      </c>
      <c r="Z40" s="4">
        <v>1.45</v>
      </c>
      <c r="AA40" s="4">
        <v>1.5</v>
      </c>
      <c r="AD40" s="7" t="s">
        <v>48</v>
      </c>
      <c r="AF40" s="4">
        <v>0.3</v>
      </c>
      <c r="AG40" s="4">
        <v>0.35</v>
      </c>
      <c r="AH40" s="4">
        <v>0.4</v>
      </c>
      <c r="AI40" s="4">
        <v>0.45</v>
      </c>
      <c r="AJ40" s="4">
        <v>0.5</v>
      </c>
      <c r="AK40" s="4">
        <v>0.55000000000000004</v>
      </c>
      <c r="AL40" s="4">
        <v>0.6</v>
      </c>
      <c r="AM40" s="4">
        <v>0.65</v>
      </c>
      <c r="AN40" s="4">
        <v>0.7</v>
      </c>
      <c r="AO40" s="4">
        <v>0.75</v>
      </c>
      <c r="AP40" s="4">
        <v>0.8</v>
      </c>
      <c r="AQ40" s="4">
        <v>0.85</v>
      </c>
      <c r="AR40" s="4">
        <v>0.9</v>
      </c>
      <c r="AS40" s="4">
        <v>0.95</v>
      </c>
      <c r="AT40" s="4">
        <v>1</v>
      </c>
      <c r="AU40" s="4">
        <v>1.05</v>
      </c>
      <c r="AV40" s="4">
        <v>1.1000000000000001</v>
      </c>
      <c r="AW40" s="4">
        <v>1.1499999999999999</v>
      </c>
      <c r="AX40" s="4">
        <v>1.2</v>
      </c>
      <c r="AY40" s="4">
        <v>1.25</v>
      </c>
      <c r="AZ40" s="4">
        <v>1.3</v>
      </c>
      <c r="BA40" s="4">
        <v>1.35</v>
      </c>
      <c r="BB40" s="4">
        <v>1.4</v>
      </c>
      <c r="BC40" s="4">
        <v>1.45</v>
      </c>
      <c r="BD40" s="4">
        <v>1.5</v>
      </c>
    </row>
    <row r="41" spans="1:56" x14ac:dyDescent="0.4">
      <c r="A41" s="27" t="s">
        <v>40</v>
      </c>
      <c r="B41" s="4">
        <v>8.3333299999999999E-2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D41" s="27" t="s">
        <v>40</v>
      </c>
      <c r="AE41" s="4">
        <v>8.3333299999999999E-2</v>
      </c>
      <c r="AF41" s="4">
        <f>C41+0.0001</f>
        <v>1E-4</v>
      </c>
      <c r="AG41" s="4">
        <f t="shared" ref="AG41:BD49" si="30">D41+0.0001</f>
        <v>1E-4</v>
      </c>
      <c r="AH41" s="4">
        <f t="shared" si="30"/>
        <v>1E-4</v>
      </c>
      <c r="AI41" s="4">
        <f t="shared" si="30"/>
        <v>1E-4</v>
      </c>
      <c r="AJ41" s="4">
        <f t="shared" si="30"/>
        <v>1E-4</v>
      </c>
      <c r="AK41" s="4">
        <f t="shared" si="30"/>
        <v>1E-4</v>
      </c>
      <c r="AL41" s="4">
        <f t="shared" si="30"/>
        <v>1E-4</v>
      </c>
      <c r="AM41" s="4">
        <f t="shared" si="30"/>
        <v>1E-4</v>
      </c>
      <c r="AN41" s="4">
        <f t="shared" si="30"/>
        <v>1E-4</v>
      </c>
      <c r="AO41" s="4">
        <f t="shared" si="30"/>
        <v>1E-4</v>
      </c>
      <c r="AP41" s="4">
        <f t="shared" si="30"/>
        <v>1E-4</v>
      </c>
      <c r="AQ41" s="4">
        <f t="shared" si="30"/>
        <v>1E-4</v>
      </c>
      <c r="AR41" s="4">
        <f t="shared" si="30"/>
        <v>1E-4</v>
      </c>
      <c r="AS41" s="4">
        <f t="shared" si="30"/>
        <v>1E-4</v>
      </c>
      <c r="AT41" s="4">
        <f t="shared" si="30"/>
        <v>1E-4</v>
      </c>
      <c r="AU41" s="4">
        <f t="shared" si="30"/>
        <v>1E-4</v>
      </c>
      <c r="AV41" s="4">
        <f t="shared" si="30"/>
        <v>1E-4</v>
      </c>
      <c r="AW41" s="4">
        <f t="shared" si="30"/>
        <v>1E-4</v>
      </c>
      <c r="AX41" s="4">
        <f t="shared" si="30"/>
        <v>1E-4</v>
      </c>
      <c r="AY41" s="4">
        <f t="shared" si="30"/>
        <v>1E-4</v>
      </c>
      <c r="AZ41" s="4">
        <f t="shared" si="30"/>
        <v>1E-4</v>
      </c>
      <c r="BA41" s="4">
        <f t="shared" si="30"/>
        <v>1E-4</v>
      </c>
      <c r="BB41" s="4">
        <f t="shared" si="30"/>
        <v>1E-4</v>
      </c>
      <c r="BC41" s="4">
        <f t="shared" si="30"/>
        <v>1E-4</v>
      </c>
      <c r="BD41" s="4">
        <f t="shared" si="30"/>
        <v>1E-4</v>
      </c>
    </row>
    <row r="42" spans="1:56" x14ac:dyDescent="0.4">
      <c r="A42" s="27"/>
      <c r="B42" s="4">
        <v>0.16666700000000001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D42" s="27"/>
      <c r="AE42" s="4">
        <v>0.16666700000000001</v>
      </c>
      <c r="AF42" s="4">
        <f t="shared" ref="AF42:AF49" si="31">C42+0.0001</f>
        <v>1E-4</v>
      </c>
      <c r="AG42" s="4">
        <f t="shared" si="30"/>
        <v>1E-4</v>
      </c>
      <c r="AH42" s="4">
        <f t="shared" si="30"/>
        <v>1E-4</v>
      </c>
      <c r="AI42" s="4">
        <f t="shared" si="30"/>
        <v>1E-4</v>
      </c>
      <c r="AJ42" s="4">
        <f t="shared" si="30"/>
        <v>1E-4</v>
      </c>
      <c r="AK42" s="4">
        <f t="shared" si="30"/>
        <v>1E-4</v>
      </c>
      <c r="AL42" s="4">
        <f t="shared" si="30"/>
        <v>1E-4</v>
      </c>
      <c r="AM42" s="4">
        <f t="shared" si="30"/>
        <v>1E-4</v>
      </c>
      <c r="AN42" s="4">
        <f t="shared" si="30"/>
        <v>1E-4</v>
      </c>
      <c r="AO42" s="4">
        <f t="shared" si="30"/>
        <v>1E-4</v>
      </c>
      <c r="AP42" s="4">
        <f t="shared" si="30"/>
        <v>1E-4</v>
      </c>
      <c r="AQ42" s="4">
        <f t="shared" si="30"/>
        <v>1E-4</v>
      </c>
      <c r="AR42" s="4">
        <f t="shared" si="30"/>
        <v>1E-4</v>
      </c>
      <c r="AS42" s="4">
        <f t="shared" si="30"/>
        <v>1E-4</v>
      </c>
      <c r="AT42" s="4">
        <f t="shared" si="30"/>
        <v>1E-4</v>
      </c>
      <c r="AU42" s="4">
        <f t="shared" si="30"/>
        <v>1E-4</v>
      </c>
      <c r="AV42" s="4">
        <f t="shared" si="30"/>
        <v>1E-4</v>
      </c>
      <c r="AW42" s="4">
        <f t="shared" si="30"/>
        <v>1E-4</v>
      </c>
      <c r="AX42" s="4">
        <f t="shared" si="30"/>
        <v>1E-4</v>
      </c>
      <c r="AY42" s="4">
        <f t="shared" si="30"/>
        <v>1E-4</v>
      </c>
      <c r="AZ42" s="4">
        <f t="shared" si="30"/>
        <v>1E-4</v>
      </c>
      <c r="BA42" s="4">
        <f t="shared" si="30"/>
        <v>1E-4</v>
      </c>
      <c r="BB42" s="4">
        <f t="shared" si="30"/>
        <v>1E-4</v>
      </c>
      <c r="BC42" s="4">
        <f t="shared" si="30"/>
        <v>1E-4</v>
      </c>
      <c r="BD42" s="4">
        <f t="shared" si="30"/>
        <v>1E-4</v>
      </c>
    </row>
    <row r="43" spans="1:56" x14ac:dyDescent="0.4">
      <c r="A43" s="27"/>
      <c r="B43" s="4">
        <v>0.25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D43" s="27"/>
      <c r="AE43" s="4">
        <v>0.25</v>
      </c>
      <c r="AF43" s="4">
        <f t="shared" si="31"/>
        <v>1E-4</v>
      </c>
      <c r="AG43" s="4">
        <f t="shared" si="30"/>
        <v>1E-4</v>
      </c>
      <c r="AH43" s="4">
        <f t="shared" si="30"/>
        <v>1E-4</v>
      </c>
      <c r="AI43" s="4">
        <f t="shared" si="30"/>
        <v>1E-4</v>
      </c>
      <c r="AJ43" s="4">
        <f t="shared" si="30"/>
        <v>1E-4</v>
      </c>
      <c r="AK43" s="4">
        <f t="shared" si="30"/>
        <v>1E-4</v>
      </c>
      <c r="AL43" s="4">
        <f t="shared" si="30"/>
        <v>1E-4</v>
      </c>
      <c r="AM43" s="4">
        <f t="shared" si="30"/>
        <v>1E-4</v>
      </c>
      <c r="AN43" s="4">
        <f t="shared" si="30"/>
        <v>1E-4</v>
      </c>
      <c r="AO43" s="4">
        <f t="shared" si="30"/>
        <v>1E-4</v>
      </c>
      <c r="AP43" s="4">
        <f t="shared" si="30"/>
        <v>1E-4</v>
      </c>
      <c r="AQ43" s="4">
        <f t="shared" si="30"/>
        <v>1E-4</v>
      </c>
      <c r="AR43" s="4">
        <f t="shared" si="30"/>
        <v>1E-4</v>
      </c>
      <c r="AS43" s="4">
        <f t="shared" si="30"/>
        <v>1E-4</v>
      </c>
      <c r="AT43" s="4">
        <f t="shared" si="30"/>
        <v>1E-4</v>
      </c>
      <c r="AU43" s="4">
        <f t="shared" si="30"/>
        <v>1E-4</v>
      </c>
      <c r="AV43" s="4">
        <f t="shared" si="30"/>
        <v>1E-4</v>
      </c>
      <c r="AW43" s="4">
        <f t="shared" si="30"/>
        <v>1E-4</v>
      </c>
      <c r="AX43" s="4">
        <f t="shared" si="30"/>
        <v>1E-4</v>
      </c>
      <c r="AY43" s="4">
        <f t="shared" si="30"/>
        <v>1E-4</v>
      </c>
      <c r="AZ43" s="4">
        <f t="shared" si="30"/>
        <v>1E-4</v>
      </c>
      <c r="BA43" s="4">
        <f t="shared" si="30"/>
        <v>1E-4</v>
      </c>
      <c r="BB43" s="4">
        <f t="shared" si="30"/>
        <v>1E-4</v>
      </c>
      <c r="BC43" s="4">
        <f t="shared" si="30"/>
        <v>1E-4</v>
      </c>
      <c r="BD43" s="4">
        <f t="shared" si="30"/>
        <v>1E-4</v>
      </c>
    </row>
    <row r="44" spans="1:56" x14ac:dyDescent="0.4">
      <c r="A44" s="27"/>
      <c r="B44" s="4">
        <v>0.5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0.25604900000000003</v>
      </c>
      <c r="Q44" s="4">
        <v>0.245587</v>
      </c>
      <c r="R44" s="4">
        <v>0.246423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D44" s="27"/>
      <c r="AE44" s="4">
        <v>0.5</v>
      </c>
      <c r="AF44" s="4">
        <f t="shared" si="31"/>
        <v>1E-4</v>
      </c>
      <c r="AG44" s="4">
        <f t="shared" si="30"/>
        <v>1E-4</v>
      </c>
      <c r="AH44" s="4">
        <f t="shared" si="30"/>
        <v>1E-4</v>
      </c>
      <c r="AI44" s="4">
        <f t="shared" si="30"/>
        <v>1E-4</v>
      </c>
      <c r="AJ44" s="4">
        <f t="shared" si="30"/>
        <v>1E-4</v>
      </c>
      <c r="AK44" s="4">
        <f t="shared" si="30"/>
        <v>1E-4</v>
      </c>
      <c r="AL44" s="4">
        <f t="shared" si="30"/>
        <v>1E-4</v>
      </c>
      <c r="AM44" s="4">
        <f t="shared" si="30"/>
        <v>1E-4</v>
      </c>
      <c r="AN44" s="4">
        <f t="shared" si="30"/>
        <v>1E-4</v>
      </c>
      <c r="AO44" s="4">
        <f t="shared" si="30"/>
        <v>1E-4</v>
      </c>
      <c r="AP44" s="4">
        <f t="shared" si="30"/>
        <v>1E-4</v>
      </c>
      <c r="AQ44" s="4">
        <f t="shared" si="30"/>
        <v>1E-4</v>
      </c>
      <c r="AR44" s="4">
        <f t="shared" si="30"/>
        <v>1E-4</v>
      </c>
      <c r="AS44" s="4">
        <f t="shared" si="30"/>
        <v>0.25614900000000002</v>
      </c>
      <c r="AT44" s="4">
        <f t="shared" si="30"/>
        <v>0.24568699999999999</v>
      </c>
      <c r="AU44" s="4">
        <f t="shared" si="30"/>
        <v>0.24652299999999999</v>
      </c>
      <c r="AV44" s="4">
        <f t="shared" si="30"/>
        <v>1E-4</v>
      </c>
      <c r="AW44" s="4">
        <f t="shared" si="30"/>
        <v>1E-4</v>
      </c>
      <c r="AX44" s="4">
        <f t="shared" si="30"/>
        <v>1E-4</v>
      </c>
      <c r="AY44" s="4">
        <f t="shared" si="30"/>
        <v>1E-4</v>
      </c>
      <c r="AZ44" s="4">
        <f t="shared" si="30"/>
        <v>1E-4</v>
      </c>
      <c r="BA44" s="4">
        <f t="shared" si="30"/>
        <v>1E-4</v>
      </c>
      <c r="BB44" s="4">
        <f t="shared" si="30"/>
        <v>1E-4</v>
      </c>
      <c r="BC44" s="4">
        <f t="shared" si="30"/>
        <v>1E-4</v>
      </c>
      <c r="BD44" s="4">
        <f t="shared" si="30"/>
        <v>1E-4</v>
      </c>
    </row>
    <row r="45" spans="1:56" x14ac:dyDescent="0.4">
      <c r="A45" s="27"/>
      <c r="B45" s="4">
        <v>0.75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D45" s="27"/>
      <c r="AE45" s="4">
        <v>0.75</v>
      </c>
      <c r="AF45" s="4">
        <f t="shared" si="31"/>
        <v>1E-4</v>
      </c>
      <c r="AG45" s="4">
        <f t="shared" si="30"/>
        <v>1E-4</v>
      </c>
      <c r="AH45" s="4">
        <f t="shared" si="30"/>
        <v>1E-4</v>
      </c>
      <c r="AI45" s="4">
        <f t="shared" si="30"/>
        <v>1E-4</v>
      </c>
      <c r="AJ45" s="4">
        <f t="shared" si="30"/>
        <v>1E-4</v>
      </c>
      <c r="AK45" s="4">
        <f t="shared" si="30"/>
        <v>1E-4</v>
      </c>
      <c r="AL45" s="4">
        <f t="shared" si="30"/>
        <v>1E-4</v>
      </c>
      <c r="AM45" s="4">
        <f t="shared" si="30"/>
        <v>1E-4</v>
      </c>
      <c r="AN45" s="4">
        <f t="shared" si="30"/>
        <v>1E-4</v>
      </c>
      <c r="AO45" s="4">
        <f t="shared" si="30"/>
        <v>1E-4</v>
      </c>
      <c r="AP45" s="4">
        <f t="shared" si="30"/>
        <v>1E-4</v>
      </c>
      <c r="AQ45" s="4">
        <f t="shared" si="30"/>
        <v>1E-4</v>
      </c>
      <c r="AR45" s="4">
        <f t="shared" si="30"/>
        <v>1E-4</v>
      </c>
      <c r="AS45" s="4">
        <f t="shared" si="30"/>
        <v>1E-4</v>
      </c>
      <c r="AT45" s="4">
        <f t="shared" si="30"/>
        <v>1E-4</v>
      </c>
      <c r="AU45" s="4">
        <f t="shared" si="30"/>
        <v>1E-4</v>
      </c>
      <c r="AV45" s="4">
        <f t="shared" si="30"/>
        <v>1E-4</v>
      </c>
      <c r="AW45" s="4">
        <f t="shared" si="30"/>
        <v>1E-4</v>
      </c>
      <c r="AX45" s="4">
        <f t="shared" si="30"/>
        <v>1E-4</v>
      </c>
      <c r="AY45" s="4">
        <f t="shared" si="30"/>
        <v>1E-4</v>
      </c>
      <c r="AZ45" s="4">
        <f t="shared" si="30"/>
        <v>1E-4</v>
      </c>
      <c r="BA45" s="4">
        <f t="shared" si="30"/>
        <v>1E-4</v>
      </c>
      <c r="BB45" s="4">
        <f t="shared" si="30"/>
        <v>1E-4</v>
      </c>
      <c r="BC45" s="4">
        <f t="shared" si="30"/>
        <v>1E-4</v>
      </c>
      <c r="BD45" s="4">
        <f t="shared" si="30"/>
        <v>1E-4</v>
      </c>
    </row>
    <row r="46" spans="1:56" x14ac:dyDescent="0.4">
      <c r="A46" s="27"/>
      <c r="B46" s="4">
        <v>1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0.26105200000000001</v>
      </c>
      <c r="Q46" s="4">
        <v>0.25633699999999998</v>
      </c>
      <c r="R46" s="4">
        <v>0.25296099999999999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D46" s="27"/>
      <c r="AE46" s="4">
        <v>1</v>
      </c>
      <c r="AF46" s="4">
        <f t="shared" si="31"/>
        <v>1E-4</v>
      </c>
      <c r="AG46" s="4">
        <f t="shared" si="30"/>
        <v>1E-4</v>
      </c>
      <c r="AH46" s="4">
        <f t="shared" si="30"/>
        <v>1E-4</v>
      </c>
      <c r="AI46" s="4">
        <f t="shared" si="30"/>
        <v>1E-4</v>
      </c>
      <c r="AJ46" s="4">
        <f t="shared" si="30"/>
        <v>1E-4</v>
      </c>
      <c r="AK46" s="4">
        <f t="shared" si="30"/>
        <v>1E-4</v>
      </c>
      <c r="AL46" s="4">
        <f t="shared" si="30"/>
        <v>1E-4</v>
      </c>
      <c r="AM46" s="4">
        <f t="shared" si="30"/>
        <v>1E-4</v>
      </c>
      <c r="AN46" s="4">
        <f t="shared" si="30"/>
        <v>1E-4</v>
      </c>
      <c r="AO46" s="4">
        <f t="shared" si="30"/>
        <v>1E-4</v>
      </c>
      <c r="AP46" s="4">
        <f t="shared" si="30"/>
        <v>1E-4</v>
      </c>
      <c r="AQ46" s="4">
        <f t="shared" si="30"/>
        <v>1E-4</v>
      </c>
      <c r="AR46" s="4">
        <f t="shared" si="30"/>
        <v>1E-4</v>
      </c>
      <c r="AS46" s="4">
        <f t="shared" si="30"/>
        <v>0.261152</v>
      </c>
      <c r="AT46" s="4">
        <f t="shared" si="30"/>
        <v>0.25643699999999997</v>
      </c>
      <c r="AU46" s="4">
        <f t="shared" si="30"/>
        <v>0.25306099999999998</v>
      </c>
      <c r="AV46" s="4">
        <f t="shared" si="30"/>
        <v>1E-4</v>
      </c>
      <c r="AW46" s="4">
        <f t="shared" si="30"/>
        <v>1E-4</v>
      </c>
      <c r="AX46" s="4">
        <f t="shared" si="30"/>
        <v>1E-4</v>
      </c>
      <c r="AY46" s="4">
        <f t="shared" si="30"/>
        <v>1E-4</v>
      </c>
      <c r="AZ46" s="4">
        <f t="shared" si="30"/>
        <v>1E-4</v>
      </c>
      <c r="BA46" s="4">
        <f t="shared" si="30"/>
        <v>1E-4</v>
      </c>
      <c r="BB46" s="4">
        <f t="shared" si="30"/>
        <v>1E-4</v>
      </c>
      <c r="BC46" s="4">
        <f t="shared" si="30"/>
        <v>1E-4</v>
      </c>
      <c r="BD46" s="4">
        <f t="shared" si="30"/>
        <v>1E-4</v>
      </c>
    </row>
    <row r="47" spans="1:56" x14ac:dyDescent="0.4">
      <c r="A47" s="27"/>
      <c r="B47" s="4">
        <v>1.5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D47" s="27"/>
      <c r="AE47" s="4">
        <v>1.5</v>
      </c>
      <c r="AF47" s="4">
        <f t="shared" si="31"/>
        <v>1E-4</v>
      </c>
      <c r="AG47" s="4">
        <f t="shared" si="30"/>
        <v>1E-4</v>
      </c>
      <c r="AH47" s="4">
        <f t="shared" si="30"/>
        <v>1E-4</v>
      </c>
      <c r="AI47" s="4">
        <f t="shared" si="30"/>
        <v>1E-4</v>
      </c>
      <c r="AJ47" s="4">
        <f t="shared" si="30"/>
        <v>1E-4</v>
      </c>
      <c r="AK47" s="4">
        <f t="shared" si="30"/>
        <v>1E-4</v>
      </c>
      <c r="AL47" s="4">
        <f t="shared" si="30"/>
        <v>1E-4</v>
      </c>
      <c r="AM47" s="4">
        <f t="shared" si="30"/>
        <v>1E-4</v>
      </c>
      <c r="AN47" s="4">
        <f t="shared" si="30"/>
        <v>1E-4</v>
      </c>
      <c r="AO47" s="4">
        <f t="shared" si="30"/>
        <v>1E-4</v>
      </c>
      <c r="AP47" s="4">
        <f t="shared" si="30"/>
        <v>1E-4</v>
      </c>
      <c r="AQ47" s="4">
        <f t="shared" si="30"/>
        <v>1E-4</v>
      </c>
      <c r="AR47" s="4">
        <f t="shared" si="30"/>
        <v>1E-4</v>
      </c>
      <c r="AS47" s="4">
        <f t="shared" si="30"/>
        <v>1E-4</v>
      </c>
      <c r="AT47" s="4">
        <f t="shared" si="30"/>
        <v>1E-4</v>
      </c>
      <c r="AU47" s="4">
        <f t="shared" si="30"/>
        <v>1E-4</v>
      </c>
      <c r="AV47" s="4">
        <f t="shared" si="30"/>
        <v>1E-4</v>
      </c>
      <c r="AW47" s="4">
        <f t="shared" si="30"/>
        <v>1E-4</v>
      </c>
      <c r="AX47" s="4">
        <f t="shared" si="30"/>
        <v>1E-4</v>
      </c>
      <c r="AY47" s="4">
        <f t="shared" si="30"/>
        <v>1E-4</v>
      </c>
      <c r="AZ47" s="4">
        <f t="shared" si="30"/>
        <v>1E-4</v>
      </c>
      <c r="BA47" s="4">
        <f t="shared" si="30"/>
        <v>1E-4</v>
      </c>
      <c r="BB47" s="4">
        <f t="shared" si="30"/>
        <v>1E-4</v>
      </c>
      <c r="BC47" s="4">
        <f t="shared" si="30"/>
        <v>1E-4</v>
      </c>
      <c r="BD47" s="4">
        <f t="shared" si="30"/>
        <v>1E-4</v>
      </c>
    </row>
    <row r="48" spans="1:56" x14ac:dyDescent="0.4">
      <c r="A48" s="27"/>
      <c r="B48" s="4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D48" s="27"/>
      <c r="AE48" s="4">
        <v>2</v>
      </c>
      <c r="AF48" s="4">
        <f t="shared" si="31"/>
        <v>1E-4</v>
      </c>
      <c r="AG48" s="4">
        <f t="shared" si="30"/>
        <v>1E-4</v>
      </c>
      <c r="AH48" s="4">
        <f t="shared" si="30"/>
        <v>1E-4</v>
      </c>
      <c r="AI48" s="4">
        <f t="shared" si="30"/>
        <v>1E-4</v>
      </c>
      <c r="AJ48" s="4">
        <f t="shared" si="30"/>
        <v>1E-4</v>
      </c>
      <c r="AK48" s="4">
        <f t="shared" si="30"/>
        <v>1E-4</v>
      </c>
      <c r="AL48" s="4">
        <f t="shared" si="30"/>
        <v>1E-4</v>
      </c>
      <c r="AM48" s="4">
        <f t="shared" si="30"/>
        <v>1E-4</v>
      </c>
      <c r="AN48" s="4">
        <f t="shared" si="30"/>
        <v>1E-4</v>
      </c>
      <c r="AO48" s="4">
        <f t="shared" si="30"/>
        <v>1E-4</v>
      </c>
      <c r="AP48" s="4">
        <f t="shared" si="30"/>
        <v>1E-4</v>
      </c>
      <c r="AQ48" s="4">
        <f t="shared" si="30"/>
        <v>1E-4</v>
      </c>
      <c r="AR48" s="4">
        <f t="shared" si="30"/>
        <v>1E-4</v>
      </c>
      <c r="AS48" s="4">
        <f t="shared" si="30"/>
        <v>1E-4</v>
      </c>
      <c r="AT48" s="4">
        <f t="shared" si="30"/>
        <v>1E-4</v>
      </c>
      <c r="AU48" s="4">
        <f t="shared" si="30"/>
        <v>1E-4</v>
      </c>
      <c r="AV48" s="4">
        <f t="shared" si="30"/>
        <v>1E-4</v>
      </c>
      <c r="AW48" s="4">
        <f t="shared" si="30"/>
        <v>1E-4</v>
      </c>
      <c r="AX48" s="4">
        <f t="shared" si="30"/>
        <v>1E-4</v>
      </c>
      <c r="AY48" s="4">
        <f t="shared" si="30"/>
        <v>1E-4</v>
      </c>
      <c r="AZ48" s="4">
        <f t="shared" si="30"/>
        <v>1E-4</v>
      </c>
      <c r="BA48" s="4">
        <f t="shared" si="30"/>
        <v>1E-4</v>
      </c>
      <c r="BB48" s="4">
        <f t="shared" si="30"/>
        <v>1E-4</v>
      </c>
      <c r="BC48" s="4">
        <f t="shared" si="30"/>
        <v>1E-4</v>
      </c>
      <c r="BD48" s="4">
        <f t="shared" si="30"/>
        <v>1E-4</v>
      </c>
    </row>
    <row r="49" spans="1:56" x14ac:dyDescent="0.4">
      <c r="A49" s="27"/>
      <c r="B49" s="4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0.26530700000000002</v>
      </c>
      <c r="Q49" s="4">
        <v>0.263959</v>
      </c>
      <c r="R49" s="4">
        <v>0.26272899999999999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D49" s="27"/>
      <c r="AE49" s="4">
        <v>3</v>
      </c>
      <c r="AF49" s="4">
        <f t="shared" si="31"/>
        <v>1E-4</v>
      </c>
      <c r="AG49" s="4">
        <f t="shared" si="30"/>
        <v>1E-4</v>
      </c>
      <c r="AH49" s="4">
        <f t="shared" si="30"/>
        <v>1E-4</v>
      </c>
      <c r="AI49" s="4">
        <f t="shared" si="30"/>
        <v>1E-4</v>
      </c>
      <c r="AJ49" s="4">
        <f t="shared" si="30"/>
        <v>1E-4</v>
      </c>
      <c r="AK49" s="4">
        <f t="shared" si="30"/>
        <v>1E-4</v>
      </c>
      <c r="AL49" s="4">
        <f t="shared" si="30"/>
        <v>1E-4</v>
      </c>
      <c r="AM49" s="4">
        <f t="shared" si="30"/>
        <v>1E-4</v>
      </c>
      <c r="AN49" s="4">
        <f t="shared" si="30"/>
        <v>1E-4</v>
      </c>
      <c r="AO49" s="4">
        <f t="shared" si="30"/>
        <v>1E-4</v>
      </c>
      <c r="AP49" s="4">
        <f t="shared" si="30"/>
        <v>1E-4</v>
      </c>
      <c r="AQ49" s="4">
        <f t="shared" si="30"/>
        <v>1E-4</v>
      </c>
      <c r="AR49" s="4">
        <f t="shared" si="30"/>
        <v>1E-4</v>
      </c>
      <c r="AS49" s="4">
        <f t="shared" si="30"/>
        <v>0.265407</v>
      </c>
      <c r="AT49" s="4">
        <f t="shared" si="30"/>
        <v>0.26405899999999999</v>
      </c>
      <c r="AU49" s="4">
        <f t="shared" si="30"/>
        <v>0.26282899999999998</v>
      </c>
      <c r="AV49" s="4">
        <f t="shared" si="30"/>
        <v>1E-4</v>
      </c>
      <c r="AW49" s="4">
        <f t="shared" si="30"/>
        <v>1E-4</v>
      </c>
      <c r="AX49" s="4">
        <f t="shared" si="30"/>
        <v>1E-4</v>
      </c>
      <c r="AY49" s="4">
        <f t="shared" si="30"/>
        <v>1E-4</v>
      </c>
      <c r="AZ49" s="4">
        <f t="shared" si="30"/>
        <v>1E-4</v>
      </c>
      <c r="BA49" s="4">
        <f t="shared" si="30"/>
        <v>1E-4</v>
      </c>
      <c r="BB49" s="4">
        <f t="shared" si="30"/>
        <v>1E-4</v>
      </c>
      <c r="BC49" s="4">
        <f t="shared" si="30"/>
        <v>1E-4</v>
      </c>
      <c r="BD49" s="4">
        <f t="shared" si="30"/>
        <v>1E-4</v>
      </c>
    </row>
  </sheetData>
  <mergeCells count="18">
    <mergeCell ref="A2:AA2"/>
    <mergeCell ref="AD2:BD2"/>
    <mergeCell ref="B3:AA3"/>
    <mergeCell ref="AE3:BD3"/>
    <mergeCell ref="A5:A13"/>
    <mergeCell ref="AD5:AD13"/>
    <mergeCell ref="B15:AA15"/>
    <mergeCell ref="AE15:BD15"/>
    <mergeCell ref="A17:A25"/>
    <mergeCell ref="AD17:AD25"/>
    <mergeCell ref="B27:AA27"/>
    <mergeCell ref="AE27:BD27"/>
    <mergeCell ref="A29:A37"/>
    <mergeCell ref="AD29:AD37"/>
    <mergeCell ref="B39:AA39"/>
    <mergeCell ref="AE39:BD39"/>
    <mergeCell ref="A41:A49"/>
    <mergeCell ref="AD41:AD49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19373-261D-41EC-9389-12CC4B17CAF2}">
  <sheetPr codeName="Sheet4"/>
  <dimension ref="A1:M25"/>
  <sheetViews>
    <sheetView workbookViewId="0">
      <selection activeCell="D21" sqref="D21"/>
    </sheetView>
  </sheetViews>
  <sheetFormatPr defaultRowHeight="17.399999999999999" x14ac:dyDescent="0.4"/>
  <sheetData>
    <row r="1" spans="1:13" x14ac:dyDescent="0.4">
      <c r="I1" t="s">
        <v>56</v>
      </c>
      <c r="J1" t="s">
        <v>57</v>
      </c>
    </row>
    <row r="3" spans="1:13" x14ac:dyDescent="0.4">
      <c r="A3" t="s">
        <v>50</v>
      </c>
      <c r="J3" t="s">
        <v>53</v>
      </c>
    </row>
    <row r="5" spans="1:13" x14ac:dyDescent="0.4">
      <c r="A5" t="s">
        <v>51</v>
      </c>
      <c r="C5" t="s">
        <v>52</v>
      </c>
      <c r="J5" t="s">
        <v>54</v>
      </c>
      <c r="L5" t="s">
        <v>55</v>
      </c>
    </row>
    <row r="7" spans="1:13" x14ac:dyDescent="0.4">
      <c r="A7">
        <v>20240320</v>
      </c>
      <c r="B7">
        <v>0.51229999999999998</v>
      </c>
      <c r="C7">
        <v>20240320</v>
      </c>
      <c r="D7">
        <v>6.7999999999999996E-3</v>
      </c>
      <c r="J7">
        <v>20240320</v>
      </c>
      <c r="K7">
        <f>B7+0.0001</f>
        <v>0.51239999999999997</v>
      </c>
      <c r="L7">
        <v>20240320</v>
      </c>
      <c r="M7">
        <f>D7+0.0001</f>
        <v>6.8999999999999999E-3</v>
      </c>
    </row>
    <row r="8" spans="1:13" x14ac:dyDescent="0.4">
      <c r="A8">
        <v>20240321</v>
      </c>
      <c r="B8">
        <v>9.1499999999999998E-2</v>
      </c>
      <c r="C8">
        <v>20240322</v>
      </c>
      <c r="D8">
        <v>7.7299999999999994E-2</v>
      </c>
      <c r="J8">
        <v>20240321</v>
      </c>
      <c r="K8">
        <f t="shared" ref="K8:K25" si="0">B8+0.0001</f>
        <v>9.1600000000000001E-2</v>
      </c>
      <c r="L8">
        <v>20240322</v>
      </c>
      <c r="M8">
        <f t="shared" ref="M8:M24" si="1">D8+0.0001</f>
        <v>7.7399999999999997E-2</v>
      </c>
    </row>
    <row r="9" spans="1:13" x14ac:dyDescent="0.4">
      <c r="A9">
        <v>20240322</v>
      </c>
      <c r="B9">
        <v>0.19800000000000001</v>
      </c>
      <c r="C9">
        <v>20240325</v>
      </c>
      <c r="D9">
        <v>1.4800000000000001E-2</v>
      </c>
      <c r="J9">
        <v>20240322</v>
      </c>
      <c r="K9">
        <f t="shared" si="0"/>
        <v>0.1981</v>
      </c>
      <c r="L9">
        <v>20240325</v>
      </c>
      <c r="M9">
        <f t="shared" si="1"/>
        <v>1.49E-2</v>
      </c>
    </row>
    <row r="10" spans="1:13" x14ac:dyDescent="0.4">
      <c r="A10">
        <v>20240327</v>
      </c>
      <c r="B10">
        <v>0.46879999999999999</v>
      </c>
      <c r="C10">
        <v>20240326</v>
      </c>
      <c r="D10">
        <v>2.0230000000000001E-2</v>
      </c>
      <c r="J10">
        <v>20240327</v>
      </c>
      <c r="K10">
        <f t="shared" si="0"/>
        <v>0.46889999999999998</v>
      </c>
      <c r="L10">
        <v>20240326</v>
      </c>
      <c r="M10">
        <f t="shared" si="1"/>
        <v>2.0330000000000001E-2</v>
      </c>
    </row>
    <row r="11" spans="1:13" x14ac:dyDescent="0.4">
      <c r="A11">
        <v>20240328</v>
      </c>
      <c r="B11">
        <v>0.10730000000000001</v>
      </c>
      <c r="C11">
        <v>20240328</v>
      </c>
      <c r="D11">
        <v>1.5265</v>
      </c>
      <c r="J11">
        <v>20240328</v>
      </c>
      <c r="K11">
        <f t="shared" si="0"/>
        <v>0.10740000000000001</v>
      </c>
      <c r="L11">
        <v>20240328</v>
      </c>
      <c r="M11">
        <f t="shared" si="1"/>
        <v>1.5266</v>
      </c>
    </row>
    <row r="12" spans="1:13" x14ac:dyDescent="0.4">
      <c r="A12">
        <v>20240401</v>
      </c>
      <c r="B12">
        <v>1.5800000000000002E-2</v>
      </c>
      <c r="C12">
        <v>20240329</v>
      </c>
      <c r="D12">
        <v>6.2899999999999998E-2</v>
      </c>
      <c r="J12">
        <v>20240401</v>
      </c>
      <c r="K12">
        <f t="shared" si="0"/>
        <v>1.5900000000000001E-2</v>
      </c>
      <c r="L12">
        <v>20240329</v>
      </c>
      <c r="M12">
        <f t="shared" si="1"/>
        <v>6.3E-2</v>
      </c>
    </row>
    <row r="13" spans="1:13" x14ac:dyDescent="0.4">
      <c r="A13">
        <v>20240402</v>
      </c>
      <c r="B13">
        <v>0.1095</v>
      </c>
      <c r="C13">
        <v>20240401</v>
      </c>
      <c r="D13">
        <v>2.3900000000000001E-2</v>
      </c>
      <c r="J13">
        <v>20240402</v>
      </c>
      <c r="K13">
        <f t="shared" si="0"/>
        <v>0.1096</v>
      </c>
      <c r="L13">
        <v>20240401</v>
      </c>
      <c r="M13">
        <f t="shared" si="1"/>
        <v>2.4E-2</v>
      </c>
    </row>
    <row r="14" spans="1:13" x14ac:dyDescent="0.4">
      <c r="A14">
        <v>20240403</v>
      </c>
      <c r="B14">
        <v>0.1883</v>
      </c>
      <c r="C14">
        <v>20240402</v>
      </c>
      <c r="D14">
        <v>1.3599999999999999E-2</v>
      </c>
      <c r="J14">
        <v>20240403</v>
      </c>
      <c r="K14">
        <f t="shared" si="0"/>
        <v>0.18839999999999998</v>
      </c>
      <c r="L14">
        <v>20240402</v>
      </c>
      <c r="M14">
        <f t="shared" si="1"/>
        <v>1.3699999999999999E-2</v>
      </c>
    </row>
    <row r="15" spans="1:13" x14ac:dyDescent="0.4">
      <c r="A15">
        <v>20240404</v>
      </c>
      <c r="B15">
        <v>0.48299999999999998</v>
      </c>
      <c r="C15">
        <v>20240403</v>
      </c>
      <c r="D15">
        <v>4.4999999999999997E-3</v>
      </c>
      <c r="J15">
        <v>20240404</v>
      </c>
      <c r="K15">
        <f t="shared" si="0"/>
        <v>0.48309999999999997</v>
      </c>
      <c r="L15">
        <v>20240403</v>
      </c>
      <c r="M15">
        <f t="shared" si="1"/>
        <v>4.5999999999999999E-3</v>
      </c>
    </row>
    <row r="16" spans="1:13" x14ac:dyDescent="0.4">
      <c r="A16">
        <v>20240405</v>
      </c>
      <c r="B16">
        <v>1.7999999999999999E-2</v>
      </c>
      <c r="C16">
        <v>20240404</v>
      </c>
      <c r="D16">
        <v>1.4800000000000001E-2</v>
      </c>
      <c r="J16">
        <v>20240405</v>
      </c>
      <c r="K16">
        <f t="shared" si="0"/>
        <v>1.8099999999999998E-2</v>
      </c>
      <c r="L16">
        <v>20240404</v>
      </c>
      <c r="M16">
        <f t="shared" si="1"/>
        <v>1.49E-2</v>
      </c>
    </row>
    <row r="17" spans="1:13" x14ac:dyDescent="0.4">
      <c r="A17">
        <v>20240408</v>
      </c>
      <c r="B17">
        <v>6.83E-2</v>
      </c>
      <c r="C17">
        <v>20240425</v>
      </c>
      <c r="D17">
        <v>2.3E-3</v>
      </c>
      <c r="J17">
        <v>20240408</v>
      </c>
      <c r="K17">
        <f t="shared" si="0"/>
        <v>6.8400000000000002E-2</v>
      </c>
      <c r="L17">
        <v>20240425</v>
      </c>
      <c r="M17">
        <f t="shared" si="1"/>
        <v>2.3999999999999998E-3</v>
      </c>
    </row>
    <row r="18" spans="1:13" x14ac:dyDescent="0.4">
      <c r="A18">
        <v>20240409</v>
      </c>
      <c r="B18">
        <v>5.738E-2</v>
      </c>
      <c r="C18">
        <v>20240627</v>
      </c>
      <c r="D18">
        <v>1.3867</v>
      </c>
      <c r="J18">
        <v>20240409</v>
      </c>
      <c r="K18">
        <f t="shared" si="0"/>
        <v>5.7480000000000003E-2</v>
      </c>
      <c r="L18">
        <v>20240627</v>
      </c>
      <c r="M18">
        <f t="shared" si="1"/>
        <v>1.3868</v>
      </c>
    </row>
    <row r="19" spans="1:13" x14ac:dyDescent="0.4">
      <c r="A19">
        <v>20240411</v>
      </c>
      <c r="B19">
        <v>9.6000000000000002E-2</v>
      </c>
      <c r="C19">
        <v>20240629</v>
      </c>
      <c r="D19">
        <v>1.9300000000000001E-2</v>
      </c>
      <c r="J19">
        <v>20240411</v>
      </c>
      <c r="K19">
        <f t="shared" si="0"/>
        <v>9.6100000000000005E-2</v>
      </c>
      <c r="L19">
        <v>20240629</v>
      </c>
      <c r="M19">
        <f t="shared" si="1"/>
        <v>1.9400000000000001E-2</v>
      </c>
    </row>
    <row r="20" spans="1:13" x14ac:dyDescent="0.4">
      <c r="A20">
        <v>20240412</v>
      </c>
      <c r="B20">
        <v>0.372</v>
      </c>
      <c r="C20">
        <v>20240807</v>
      </c>
      <c r="D20">
        <v>1.8200000000000001E-2</v>
      </c>
      <c r="J20">
        <v>20240412</v>
      </c>
      <c r="K20">
        <f t="shared" si="0"/>
        <v>0.37209999999999999</v>
      </c>
      <c r="L20">
        <v>20240807</v>
      </c>
      <c r="M20">
        <f t="shared" si="1"/>
        <v>1.83E-2</v>
      </c>
    </row>
    <row r="21" spans="1:13" x14ac:dyDescent="0.4">
      <c r="A21">
        <v>20240415</v>
      </c>
      <c r="B21">
        <v>4.7300000000000002E-2</v>
      </c>
      <c r="C21">
        <v>20240927</v>
      </c>
      <c r="D21">
        <v>1.1376999999999999</v>
      </c>
      <c r="J21">
        <v>20240415</v>
      </c>
      <c r="K21">
        <f t="shared" si="0"/>
        <v>4.7400000000000005E-2</v>
      </c>
      <c r="L21">
        <v>20240927</v>
      </c>
      <c r="M21">
        <f t="shared" si="1"/>
        <v>1.1377999999999999</v>
      </c>
    </row>
    <row r="22" spans="1:13" x14ac:dyDescent="0.4">
      <c r="A22">
        <v>20240416</v>
      </c>
      <c r="B22">
        <v>5.5500000000000001E-2</v>
      </c>
      <c r="C22">
        <v>20241004</v>
      </c>
      <c r="D22">
        <v>3.3999999999999998E-3</v>
      </c>
      <c r="J22">
        <v>20240416</v>
      </c>
      <c r="K22">
        <f t="shared" si="0"/>
        <v>5.5600000000000004E-2</v>
      </c>
      <c r="L22">
        <v>20241004</v>
      </c>
      <c r="M22">
        <f t="shared" si="1"/>
        <v>3.4999999999999996E-3</v>
      </c>
    </row>
    <row r="23" spans="1:13" x14ac:dyDescent="0.4">
      <c r="A23">
        <v>20240417</v>
      </c>
      <c r="B23">
        <v>7.1999999999999995E-2</v>
      </c>
      <c r="C23">
        <v>20241227</v>
      </c>
      <c r="D23">
        <v>3.9777999999999998</v>
      </c>
      <c r="J23">
        <v>20240417</v>
      </c>
      <c r="K23">
        <f t="shared" si="0"/>
        <v>7.2099999999999997E-2</v>
      </c>
      <c r="L23">
        <v>20241227</v>
      </c>
      <c r="M23">
        <f t="shared" si="1"/>
        <v>3.9779</v>
      </c>
    </row>
    <row r="24" spans="1:13" x14ac:dyDescent="0.4">
      <c r="A24">
        <v>20240418</v>
      </c>
      <c r="B24">
        <v>0.23180000000000001</v>
      </c>
      <c r="C24">
        <v>20250220</v>
      </c>
      <c r="D24">
        <v>0.1358</v>
      </c>
      <c r="J24">
        <v>20240418</v>
      </c>
      <c r="K24">
        <f t="shared" si="0"/>
        <v>0.2319</v>
      </c>
      <c r="L24">
        <v>20250220</v>
      </c>
      <c r="M24">
        <f t="shared" si="1"/>
        <v>0.13589999999999999</v>
      </c>
    </row>
    <row r="25" spans="1:13" x14ac:dyDescent="0.4">
      <c r="A25">
        <v>20240419</v>
      </c>
      <c r="B25">
        <v>0.11849999999999999</v>
      </c>
      <c r="J25">
        <v>20240419</v>
      </c>
      <c r="K25">
        <f t="shared" si="0"/>
        <v>0.1186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B1826-E660-4606-8CA9-615F7AFACE93}">
  <sheetPr codeName="Sheet5"/>
  <dimension ref="A3:G7"/>
  <sheetViews>
    <sheetView workbookViewId="0">
      <selection activeCell="I14" sqref="I14"/>
    </sheetView>
  </sheetViews>
  <sheetFormatPr defaultRowHeight="17.399999999999999" x14ac:dyDescent="0.4"/>
  <cols>
    <col min="1" max="1" width="11.8984375" bestFit="1" customWidth="1"/>
    <col min="6" max="6" width="11.8984375" bestFit="1" customWidth="1"/>
  </cols>
  <sheetData>
    <row r="3" spans="1:7" x14ac:dyDescent="0.4">
      <c r="A3" t="s">
        <v>58</v>
      </c>
      <c r="F3" t="s">
        <v>61</v>
      </c>
    </row>
    <row r="5" spans="1:7" x14ac:dyDescent="0.4">
      <c r="A5" t="s">
        <v>26</v>
      </c>
      <c r="B5">
        <v>0</v>
      </c>
      <c r="F5" t="s">
        <v>62</v>
      </c>
      <c r="G5">
        <f>B5+0.0001</f>
        <v>1E-4</v>
      </c>
    </row>
    <row r="6" spans="1:7" x14ac:dyDescent="0.4">
      <c r="A6" t="s">
        <v>59</v>
      </c>
      <c r="B6">
        <v>0</v>
      </c>
      <c r="F6" t="s">
        <v>63</v>
      </c>
      <c r="G6">
        <f t="shared" ref="G6:G7" si="0">B6+0.0001</f>
        <v>1E-4</v>
      </c>
    </row>
    <row r="7" spans="1:7" x14ac:dyDescent="0.4">
      <c r="A7" t="s">
        <v>60</v>
      </c>
      <c r="B7">
        <v>0</v>
      </c>
      <c r="F7" t="s">
        <v>64</v>
      </c>
      <c r="G7">
        <f t="shared" si="0"/>
        <v>1E-4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50A3D-0545-4AF4-90AE-3718F4274BC9}">
  <sheetPr codeName="Sheet6"/>
  <dimension ref="A1:AC41"/>
  <sheetViews>
    <sheetView zoomScale="85" zoomScaleNormal="85" workbookViewId="0">
      <selection activeCell="J25" sqref="J25"/>
    </sheetView>
  </sheetViews>
  <sheetFormatPr defaultColWidth="14.59765625" defaultRowHeight="17.399999999999999" x14ac:dyDescent="0.4"/>
  <cols>
    <col min="1" max="1" width="14.59765625" style="25"/>
    <col min="2" max="16384" width="14.59765625" style="19"/>
  </cols>
  <sheetData>
    <row r="1" spans="1:29" x14ac:dyDescent="0.4">
      <c r="A1" s="1" t="s">
        <v>65</v>
      </c>
      <c r="B1" s="1" t="s">
        <v>66</v>
      </c>
      <c r="C1" s="1" t="s">
        <v>67</v>
      </c>
      <c r="D1" s="1" t="s">
        <v>68</v>
      </c>
      <c r="F1" s="2"/>
      <c r="G1" s="2"/>
    </row>
    <row r="2" spans="1:29" x14ac:dyDescent="0.4">
      <c r="A2" s="3">
        <v>45263</v>
      </c>
      <c r="B2" s="4" t="s">
        <v>69</v>
      </c>
      <c r="C2" s="8"/>
      <c r="D2" s="4" t="str">
        <f>IF(ISBLANK('[1]Market Data'!O2), "official",  '[1]Market Data'!O2)</f>
        <v>TEST_2</v>
      </c>
      <c r="F2" s="2"/>
      <c r="G2" s="2"/>
    </row>
    <row r="3" spans="1:29" x14ac:dyDescent="0.4">
      <c r="A3" s="18"/>
      <c r="B3" s="2"/>
      <c r="C3" s="2"/>
      <c r="D3" s="2"/>
      <c r="E3" s="2"/>
      <c r="F3" s="2"/>
      <c r="G3" s="2"/>
    </row>
    <row r="4" spans="1:29" x14ac:dyDescent="0.4">
      <c r="A4" s="34" t="s">
        <v>70</v>
      </c>
      <c r="B4" s="1" t="s">
        <v>71</v>
      </c>
      <c r="C4" s="1" t="s">
        <v>72</v>
      </c>
      <c r="F4" s="2"/>
      <c r="G4" s="2"/>
    </row>
    <row r="5" spans="1:29" x14ac:dyDescent="0.4">
      <c r="A5" s="35"/>
      <c r="B5" s="8"/>
      <c r="C5" s="8"/>
      <c r="F5" s="2"/>
      <c r="G5" s="2"/>
    </row>
    <row r="8" spans="1:29" x14ac:dyDescent="0.4">
      <c r="A8" s="20" t="s">
        <v>73</v>
      </c>
      <c r="B8" s="21">
        <f>COUNTA(A10:A139)</f>
        <v>2</v>
      </c>
      <c r="J8" s="22" t="s">
        <v>74</v>
      </c>
      <c r="R8" s="22" t="s">
        <v>75</v>
      </c>
      <c r="S8" s="22"/>
      <c r="AB8" s="19" t="s">
        <v>76</v>
      </c>
    </row>
    <row r="9" spans="1:29" s="25" customFormat="1" x14ac:dyDescent="0.4">
      <c r="A9" s="23" t="s">
        <v>77</v>
      </c>
      <c r="B9" s="23" t="s">
        <v>78</v>
      </c>
      <c r="C9" s="23" t="s">
        <v>79</v>
      </c>
      <c r="D9" s="23" t="s">
        <v>80</v>
      </c>
      <c r="E9" s="23" t="s">
        <v>81</v>
      </c>
      <c r="F9" s="23" t="s">
        <v>82</v>
      </c>
      <c r="G9" s="23" t="s">
        <v>83</v>
      </c>
      <c r="H9" s="23" t="s">
        <v>84</v>
      </c>
      <c r="I9" s="23" t="s">
        <v>85</v>
      </c>
      <c r="J9" s="23" t="s">
        <v>86</v>
      </c>
      <c r="K9" s="23" t="s">
        <v>87</v>
      </c>
      <c r="L9" s="23" t="s">
        <v>88</v>
      </c>
      <c r="M9" s="23" t="s">
        <v>89</v>
      </c>
      <c r="N9" s="23" t="s">
        <v>90</v>
      </c>
      <c r="O9" s="23" t="s">
        <v>91</v>
      </c>
      <c r="P9" s="23" t="s">
        <v>92</v>
      </c>
      <c r="Q9" s="23" t="s">
        <v>93</v>
      </c>
      <c r="R9" s="23" t="s">
        <v>94</v>
      </c>
      <c r="S9" s="23" t="s">
        <v>110</v>
      </c>
      <c r="T9" s="23" t="s">
        <v>95</v>
      </c>
      <c r="U9" s="23" t="s">
        <v>96</v>
      </c>
      <c r="V9" s="23" t="s">
        <v>97</v>
      </c>
      <c r="W9" s="23" t="s">
        <v>98</v>
      </c>
      <c r="X9" s="23" t="s">
        <v>99</v>
      </c>
      <c r="Y9" s="23" t="s">
        <v>100</v>
      </c>
      <c r="Z9" s="23" t="s">
        <v>101</v>
      </c>
      <c r="AA9" s="23" t="s">
        <v>102</v>
      </c>
      <c r="AB9" s="23" t="s">
        <v>103</v>
      </c>
      <c r="AC9" s="24"/>
    </row>
    <row r="10" spans="1:29" x14ac:dyDescent="0.4">
      <c r="A10" s="20">
        <v>1</v>
      </c>
      <c r="B10" s="20">
        <v>20231218</v>
      </c>
      <c r="C10" s="21" t="s">
        <v>104</v>
      </c>
      <c r="D10" s="21">
        <v>6</v>
      </c>
      <c r="E10" s="21">
        <v>2</v>
      </c>
      <c r="F10" s="21">
        <v>1</v>
      </c>
      <c r="G10" s="21" t="s">
        <v>105</v>
      </c>
      <c r="H10" s="21" t="s">
        <v>106</v>
      </c>
      <c r="I10" s="21"/>
      <c r="J10" s="21">
        <v>95</v>
      </c>
      <c r="K10" s="21">
        <v>95</v>
      </c>
      <c r="L10" s="21">
        <v>90</v>
      </c>
      <c r="M10" s="21">
        <v>85</v>
      </c>
      <c r="N10" s="21">
        <v>80</v>
      </c>
      <c r="O10" s="21">
        <v>70</v>
      </c>
      <c r="P10" s="21">
        <v>6.2</v>
      </c>
      <c r="Q10" s="21">
        <v>100</v>
      </c>
      <c r="R10" s="21">
        <v>50</v>
      </c>
      <c r="S10" s="21" t="s">
        <v>111</v>
      </c>
      <c r="T10" s="21"/>
      <c r="U10" s="21"/>
      <c r="V10" s="21"/>
      <c r="W10" s="21"/>
      <c r="X10" s="21"/>
      <c r="Y10" s="21"/>
      <c r="Z10" s="21"/>
      <c r="AA10" s="21" t="s">
        <v>107</v>
      </c>
      <c r="AB10" s="21"/>
      <c r="AC10" s="22" t="str">
        <f>""&amp;A10&amp;"|"&amp;B10&amp;"|"&amp;C10&amp;"|"&amp;D10&amp;"|"&amp;E10&amp;"|"&amp;F10&amp;"|"&amp;G10&amp;","&amp;H10&amp;","&amp;I10&amp;"|"&amp;J10&amp;","&amp;K10&amp;","&amp;L10&amp;","&amp;M10&amp;","&amp;N10&amp;","&amp;O10&amp;"|"&amp;P10&amp;"|"&amp;Q10&amp;"|"&amp;R10&amp;"|"&amp;T10&amp;"|"&amp;U10&amp;"|"&amp;V10&amp;"|"&amp;W10&amp;"|"&amp;X10&amp;"|"&amp;Y10&amp;"|"&amp;Z10&amp;"|"&amp;AA10&amp;""</f>
        <v>1|20231218|StepDown|6|2|1|KOSPI200,SPX,|95,95,90,85,80,70|6.2|100|50||||||||KRW</v>
      </c>
    </row>
    <row r="11" spans="1:29" x14ac:dyDescent="0.4">
      <c r="A11" s="20">
        <v>2</v>
      </c>
      <c r="B11" s="20">
        <v>20231218</v>
      </c>
      <c r="C11" s="21" t="s">
        <v>108</v>
      </c>
      <c r="D11" s="21">
        <v>6</v>
      </c>
      <c r="E11" s="21">
        <v>2</v>
      </c>
      <c r="F11" s="21">
        <v>1</v>
      </c>
      <c r="G11" s="21" t="s">
        <v>105</v>
      </c>
      <c r="H11" s="21" t="s">
        <v>109</v>
      </c>
      <c r="I11" s="21"/>
      <c r="J11" s="21">
        <v>95</v>
      </c>
      <c r="K11" s="21">
        <v>95</v>
      </c>
      <c r="L11" s="21">
        <v>90</v>
      </c>
      <c r="M11" s="21">
        <v>85</v>
      </c>
      <c r="N11" s="21">
        <v>80</v>
      </c>
      <c r="O11" s="21">
        <v>70</v>
      </c>
      <c r="P11" s="21">
        <v>6.2</v>
      </c>
      <c r="Q11" s="21">
        <v>100</v>
      </c>
      <c r="R11" s="21">
        <v>50</v>
      </c>
      <c r="S11" s="21" t="s">
        <v>112</v>
      </c>
      <c r="T11" s="21"/>
      <c r="U11" s="21">
        <v>3</v>
      </c>
      <c r="V11" s="21">
        <v>70</v>
      </c>
      <c r="W11" s="21"/>
      <c r="X11" s="21">
        <v>4</v>
      </c>
      <c r="Y11" s="21">
        <v>70</v>
      </c>
      <c r="Z11" s="21"/>
      <c r="AA11" s="21" t="s">
        <v>107</v>
      </c>
      <c r="AB11" s="21"/>
      <c r="AC11" s="22" t="str">
        <f>""&amp;A11&amp;"|"&amp;B11&amp;"|"&amp;C11&amp;"|"&amp;D11&amp;"|"&amp;E11&amp;"|"&amp;F11&amp;"|"&amp;G11&amp;","&amp;H11&amp;","&amp;I11&amp;"|"&amp;J11&amp;","&amp;K11&amp;","&amp;L11&amp;","&amp;M11&amp;","&amp;N11&amp;","&amp;O11&amp;"|"&amp;P11&amp;"|"&amp;Q11&amp;"|"&amp;R11&amp;"|"&amp;T11&amp;"|"&amp;U11&amp;"|"&amp;V11&amp;"|"&amp;W11&amp;"|"&amp;X11&amp;"|"&amp;Y11&amp;"|"&amp;Z11&amp;"|"&amp;AA11&amp;""</f>
        <v>2|20231218|Lizard|6|2|1|KOSPI200,NKY,|95,95,90,85,80,70|6.2|100|50||3|70||4|70||KRW</v>
      </c>
    </row>
    <row r="12" spans="1:29" x14ac:dyDescent="0.4">
      <c r="A12" s="20"/>
      <c r="B12" s="20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</row>
    <row r="13" spans="1:29" x14ac:dyDescent="0.4">
      <c r="A13" s="20"/>
      <c r="B13" s="20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</row>
    <row r="14" spans="1:29" x14ac:dyDescent="0.4">
      <c r="A14" s="20"/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</row>
    <row r="15" spans="1:29" x14ac:dyDescent="0.4">
      <c r="A15" s="20"/>
      <c r="B15" s="20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</row>
    <row r="16" spans="1:29" x14ac:dyDescent="0.4">
      <c r="A16" s="20"/>
      <c r="B16" s="20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</row>
    <row r="17" spans="1:28" x14ac:dyDescent="0.4">
      <c r="A17" s="20"/>
      <c r="B17" s="20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</row>
    <row r="18" spans="1:28" x14ac:dyDescent="0.4">
      <c r="A18" s="20"/>
      <c r="B18" s="20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</row>
    <row r="19" spans="1:28" x14ac:dyDescent="0.4">
      <c r="A19" s="20"/>
      <c r="B19" s="20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</row>
    <row r="20" spans="1:28" x14ac:dyDescent="0.4">
      <c r="A20" s="20"/>
      <c r="B20" s="20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</row>
    <row r="21" spans="1:28" x14ac:dyDescent="0.4">
      <c r="A21" s="20"/>
      <c r="B21" s="20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</row>
    <row r="22" spans="1:28" x14ac:dyDescent="0.4">
      <c r="A22" s="20"/>
      <c r="B22" s="20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</row>
    <row r="23" spans="1:28" x14ac:dyDescent="0.4">
      <c r="A23" s="20"/>
      <c r="B23" s="20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</row>
    <row r="24" spans="1:28" x14ac:dyDescent="0.4">
      <c r="A24" s="20"/>
      <c r="B24" s="20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</row>
    <row r="25" spans="1:28" x14ac:dyDescent="0.4">
      <c r="A25" s="20"/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</row>
    <row r="26" spans="1:28" x14ac:dyDescent="0.4">
      <c r="A26" s="20"/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</row>
    <row r="27" spans="1:28" x14ac:dyDescent="0.4">
      <c r="A27" s="20"/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</row>
    <row r="28" spans="1:28" x14ac:dyDescent="0.4">
      <c r="A28" s="20"/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</row>
    <row r="29" spans="1:28" x14ac:dyDescent="0.4">
      <c r="A29" s="20"/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</row>
    <row r="30" spans="1:28" x14ac:dyDescent="0.4">
      <c r="A30" s="20"/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</row>
    <row r="31" spans="1:28" x14ac:dyDescent="0.4">
      <c r="A31" s="20"/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</row>
    <row r="32" spans="1:28" x14ac:dyDescent="0.4">
      <c r="A32" s="20"/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</row>
    <row r="33" spans="1:28" x14ac:dyDescent="0.4">
      <c r="A33" s="20"/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</row>
    <row r="34" spans="1:28" x14ac:dyDescent="0.4">
      <c r="A34" s="20"/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</row>
    <row r="35" spans="1:28" x14ac:dyDescent="0.4">
      <c r="A35" s="20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</row>
    <row r="36" spans="1:28" x14ac:dyDescent="0.4">
      <c r="A36" s="20"/>
      <c r="B36" s="20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</row>
    <row r="37" spans="1:28" x14ac:dyDescent="0.4">
      <c r="A37" s="20"/>
      <c r="B37" s="20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</row>
    <row r="38" spans="1:28" x14ac:dyDescent="0.4">
      <c r="A38" s="20"/>
      <c r="B38" s="20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</row>
    <row r="39" spans="1:28" x14ac:dyDescent="0.4">
      <c r="A39" s="20"/>
      <c r="B39" s="20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</row>
    <row r="40" spans="1:28" x14ac:dyDescent="0.4">
      <c r="A40" s="20"/>
      <c r="B40" s="20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</row>
    <row r="41" spans="1:28" x14ac:dyDescent="0.4">
      <c r="A41" s="20"/>
      <c r="B41" s="20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</row>
  </sheetData>
  <dataConsolidate/>
  <mergeCells count="1">
    <mergeCell ref="A4:A5"/>
  </mergeCells>
  <phoneticPr fontId="1" type="noConversion"/>
  <dataValidations count="3">
    <dataValidation type="list" allowBlank="1" showInputMessage="1" showErrorMessage="1" sqref="F10:F41" xr:uid="{E9AF32CB-2BCE-4638-827C-8D0D2055A26D}">
      <formula1>"1, 3"</formula1>
    </dataValidation>
    <dataValidation type="list" allowBlank="1" showInputMessage="1" showErrorMessage="1" sqref="C10:C41" xr:uid="{2A96A153-AC40-421F-BC88-82662F168226}">
      <formula1>"StepDown, Lizard, KnockOut, TwoWayKnockOut"</formula1>
    </dataValidation>
    <dataValidation type="list" allowBlank="1" showInputMessage="1" showErrorMessage="1" sqref="B2" xr:uid="{30184E10-D68B-4FE7-A0EA-306A6012F65A}">
      <formula1>"P, G, CF, GNCF"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F5D49-86BD-4246-BA42-D51B5BAFEAF5}">
  <sheetPr codeName="Sheet8"/>
  <dimension ref="A1:Z41"/>
  <sheetViews>
    <sheetView tabSelected="1" topLeftCell="Q4" zoomScaleNormal="100" workbookViewId="0">
      <selection activeCell="F11" sqref="F11"/>
    </sheetView>
  </sheetViews>
  <sheetFormatPr defaultColWidth="14.59765625" defaultRowHeight="17.399999999999999" x14ac:dyDescent="0.4"/>
  <cols>
    <col min="1" max="1" width="14.59765625" style="25"/>
    <col min="2" max="2" width="14.59765625" style="19"/>
    <col min="3" max="3" width="17.8984375" style="19" bestFit="1" customWidth="1"/>
    <col min="4" max="9" width="14.59765625" style="19"/>
    <col min="10" max="10" width="25.19921875" style="19" bestFit="1" customWidth="1"/>
    <col min="11" max="11" width="11.09765625" style="19" bestFit="1" customWidth="1"/>
    <col min="12" max="13" width="18" style="19" bestFit="1" customWidth="1"/>
    <col min="14" max="14" width="14.59765625" style="19"/>
    <col min="15" max="15" width="14.09765625" style="19" bestFit="1" customWidth="1"/>
    <col min="16" max="16" width="14.09765625" style="19" customWidth="1"/>
    <col min="17" max="17" width="11.09765625" style="19" bestFit="1" customWidth="1"/>
    <col min="18" max="18" width="21.3984375" style="19" bestFit="1" customWidth="1"/>
    <col min="19" max="19" width="20.59765625" style="19" bestFit="1" customWidth="1"/>
    <col min="20" max="20" width="14.19921875" style="19" bestFit="1" customWidth="1"/>
    <col min="21" max="21" width="14.19921875" style="19" customWidth="1"/>
    <col min="22" max="22" width="24.09765625" style="19" bestFit="1" customWidth="1"/>
    <col min="23" max="23" width="23.5" style="19" bestFit="1" customWidth="1"/>
    <col min="24" max="16384" width="14.59765625" style="19"/>
  </cols>
  <sheetData>
    <row r="1" spans="1:26" x14ac:dyDescent="0.4">
      <c r="A1" s="1" t="s">
        <v>65</v>
      </c>
      <c r="B1" s="1" t="s">
        <v>66</v>
      </c>
      <c r="C1" s="1" t="s">
        <v>67</v>
      </c>
      <c r="D1" s="1" t="s">
        <v>113</v>
      </c>
      <c r="F1" s="2"/>
      <c r="H1" s="2"/>
    </row>
    <row r="2" spans="1:26" x14ac:dyDescent="0.4">
      <c r="A2" s="3">
        <v>45263</v>
      </c>
      <c r="B2" s="4" t="s">
        <v>69</v>
      </c>
      <c r="C2" s="8"/>
      <c r="D2" s="4" t="s">
        <v>114</v>
      </c>
      <c r="F2" s="2"/>
      <c r="H2" s="2"/>
      <c r="O2" s="36" t="s">
        <v>115</v>
      </c>
      <c r="P2" s="37"/>
      <c r="Q2" s="37"/>
      <c r="R2" s="37"/>
      <c r="S2" s="37"/>
      <c r="T2" s="37"/>
      <c r="U2" s="37"/>
      <c r="V2" s="37"/>
      <c r="W2" s="38"/>
    </row>
    <row r="3" spans="1:26" x14ac:dyDescent="0.4">
      <c r="A3" s="18"/>
      <c r="B3" s="2"/>
      <c r="C3" s="2"/>
      <c r="D3" s="2"/>
      <c r="E3" s="2"/>
      <c r="F3" s="2"/>
      <c r="H3" s="2"/>
      <c r="O3" s="39"/>
      <c r="P3" s="40"/>
      <c r="Q3" s="40"/>
      <c r="R3" s="40"/>
      <c r="S3" s="40"/>
      <c r="T3" s="40"/>
      <c r="U3" s="40"/>
      <c r="V3" s="40"/>
      <c r="W3" s="41"/>
    </row>
    <row r="4" spans="1:26" x14ac:dyDescent="0.4">
      <c r="A4" s="34" t="s">
        <v>70</v>
      </c>
      <c r="B4" s="1" t="s">
        <v>71</v>
      </c>
      <c r="C4" s="1" t="s">
        <v>72</v>
      </c>
      <c r="F4" s="2"/>
      <c r="H4" s="2"/>
      <c r="O4" s="39"/>
      <c r="P4" s="40"/>
      <c r="Q4" s="40"/>
      <c r="R4" s="40"/>
      <c r="S4" s="40"/>
      <c r="T4" s="40"/>
      <c r="U4" s="40"/>
      <c r="V4" s="40"/>
      <c r="W4" s="41"/>
    </row>
    <row r="5" spans="1:26" x14ac:dyDescent="0.4">
      <c r="A5" s="35"/>
      <c r="B5" s="8"/>
      <c r="C5" s="8"/>
      <c r="F5" s="2"/>
      <c r="H5" s="2"/>
      <c r="O5" s="39"/>
      <c r="P5" s="40"/>
      <c r="Q5" s="40"/>
      <c r="R5" s="40"/>
      <c r="S5" s="40"/>
      <c r="T5" s="40"/>
      <c r="U5" s="40"/>
      <c r="V5" s="40"/>
      <c r="W5" s="41"/>
    </row>
    <row r="6" spans="1:26" x14ac:dyDescent="0.4">
      <c r="O6" s="39"/>
      <c r="P6" s="40"/>
      <c r="Q6" s="40"/>
      <c r="R6" s="40"/>
      <c r="S6" s="40"/>
      <c r="T6" s="40"/>
      <c r="U6" s="40"/>
      <c r="V6" s="40"/>
      <c r="W6" s="41"/>
    </row>
    <row r="7" spans="1:26" x14ac:dyDescent="0.4">
      <c r="O7" s="42"/>
      <c r="P7" s="43"/>
      <c r="Q7" s="43"/>
      <c r="R7" s="43"/>
      <c r="S7" s="43"/>
      <c r="T7" s="43"/>
      <c r="U7" s="43"/>
      <c r="V7" s="43"/>
      <c r="W7" s="44"/>
    </row>
    <row r="8" spans="1:26" x14ac:dyDescent="0.4">
      <c r="A8" s="20" t="s">
        <v>73</v>
      </c>
      <c r="B8" s="21">
        <f>COUNTA(A10:A139)</f>
        <v>4</v>
      </c>
      <c r="K8" s="22"/>
      <c r="O8" s="22"/>
      <c r="P8" s="22"/>
      <c r="Q8" s="22"/>
      <c r="R8" s="22"/>
      <c r="S8" s="22"/>
      <c r="T8" s="22"/>
      <c r="U8" s="22"/>
      <c r="V8" s="22"/>
      <c r="W8" s="22"/>
      <c r="Y8" s="19" t="s">
        <v>76</v>
      </c>
    </row>
    <row r="9" spans="1:26" s="25" customFormat="1" x14ac:dyDescent="0.4">
      <c r="A9" s="23" t="s">
        <v>77</v>
      </c>
      <c r="B9" s="23" t="s">
        <v>78</v>
      </c>
      <c r="C9" s="23" t="s">
        <v>79</v>
      </c>
      <c r="D9" s="23" t="s">
        <v>80</v>
      </c>
      <c r="E9" s="23" t="s">
        <v>81</v>
      </c>
      <c r="F9" s="23" t="s">
        <v>82</v>
      </c>
      <c r="G9" s="23" t="s">
        <v>83</v>
      </c>
      <c r="H9" s="23" t="s">
        <v>84</v>
      </c>
      <c r="I9" s="23" t="s">
        <v>85</v>
      </c>
      <c r="J9" s="23" t="s">
        <v>116</v>
      </c>
      <c r="K9" s="23" t="s">
        <v>92</v>
      </c>
      <c r="L9" s="23" t="s">
        <v>117</v>
      </c>
      <c r="M9" s="23" t="s">
        <v>93</v>
      </c>
      <c r="N9" s="23" t="s">
        <v>94</v>
      </c>
      <c r="O9" s="23" t="s">
        <v>118</v>
      </c>
      <c r="P9" s="23" t="s">
        <v>119</v>
      </c>
      <c r="Q9" s="23" t="s">
        <v>120</v>
      </c>
      <c r="R9" s="23" t="s">
        <v>121</v>
      </c>
      <c r="S9" s="23" t="s">
        <v>122</v>
      </c>
      <c r="T9" s="23" t="s">
        <v>123</v>
      </c>
      <c r="U9" s="23" t="s">
        <v>124</v>
      </c>
      <c r="V9" s="23" t="s">
        <v>125</v>
      </c>
      <c r="W9" s="23" t="s">
        <v>126</v>
      </c>
      <c r="X9" s="23" t="s">
        <v>102</v>
      </c>
      <c r="Y9" s="23" t="s">
        <v>103</v>
      </c>
      <c r="Z9" s="24"/>
    </row>
    <row r="10" spans="1:26" x14ac:dyDescent="0.4">
      <c r="A10" s="20">
        <v>1</v>
      </c>
      <c r="B10" s="20">
        <v>20231218</v>
      </c>
      <c r="C10" s="21" t="s">
        <v>104</v>
      </c>
      <c r="D10" s="21">
        <v>6</v>
      </c>
      <c r="E10" s="21">
        <v>2</v>
      </c>
      <c r="F10" s="21">
        <v>1</v>
      </c>
      <c r="G10" s="21" t="s">
        <v>105</v>
      </c>
      <c r="H10" s="21" t="s">
        <v>106</v>
      </c>
      <c r="I10" s="21"/>
      <c r="J10" s="21" t="s">
        <v>127</v>
      </c>
      <c r="K10" s="21">
        <v>6.2</v>
      </c>
      <c r="L10" s="21"/>
      <c r="M10" s="21">
        <v>100</v>
      </c>
      <c r="N10" s="21">
        <v>50</v>
      </c>
      <c r="O10" s="21"/>
      <c r="P10" s="21"/>
      <c r="Q10" s="21"/>
      <c r="R10" s="21"/>
      <c r="S10" s="21"/>
      <c r="T10" s="21"/>
      <c r="U10" s="21"/>
      <c r="V10" s="21"/>
      <c r="W10" s="21"/>
      <c r="X10" s="21" t="s">
        <v>107</v>
      </c>
      <c r="Y10" s="21"/>
      <c r="Z10" s="22"/>
    </row>
    <row r="11" spans="1:26" x14ac:dyDescent="0.4">
      <c r="A11" s="20">
        <v>2</v>
      </c>
      <c r="B11" s="20">
        <v>20231218</v>
      </c>
      <c r="C11" s="21" t="s">
        <v>108</v>
      </c>
      <c r="D11" s="21">
        <v>6</v>
      </c>
      <c r="E11" s="21">
        <v>2</v>
      </c>
      <c r="F11" s="21">
        <v>1</v>
      </c>
      <c r="G11" s="21" t="s">
        <v>105</v>
      </c>
      <c r="H11" s="21" t="s">
        <v>109</v>
      </c>
      <c r="I11" s="21"/>
      <c r="J11" s="21" t="s">
        <v>128</v>
      </c>
      <c r="K11" s="21">
        <v>6.2</v>
      </c>
      <c r="L11" s="21">
        <v>6.2</v>
      </c>
      <c r="M11" s="21">
        <v>100</v>
      </c>
      <c r="N11" s="21">
        <v>50</v>
      </c>
      <c r="O11" s="21"/>
      <c r="P11" s="21"/>
      <c r="Q11" s="21"/>
      <c r="R11" s="21"/>
      <c r="S11" s="21"/>
      <c r="T11" s="21"/>
      <c r="U11" s="21"/>
      <c r="V11" s="21"/>
      <c r="W11" s="21"/>
      <c r="X11" s="21" t="s">
        <v>107</v>
      </c>
      <c r="Y11" s="21"/>
      <c r="Z11" s="22"/>
    </row>
    <row r="12" spans="1:26" x14ac:dyDescent="0.4">
      <c r="A12" s="20">
        <v>3</v>
      </c>
      <c r="B12" s="20">
        <v>20231218</v>
      </c>
      <c r="C12" s="21" t="s">
        <v>129</v>
      </c>
      <c r="D12" s="21">
        <v>12</v>
      </c>
      <c r="E12" s="21"/>
      <c r="F12" s="21"/>
      <c r="G12" s="21" t="s">
        <v>105</v>
      </c>
      <c r="H12" s="21"/>
      <c r="I12" s="21"/>
      <c r="J12" s="21"/>
      <c r="K12" s="21"/>
      <c r="L12" s="21"/>
      <c r="M12" s="21"/>
      <c r="N12" s="21"/>
      <c r="O12" s="26">
        <v>102</v>
      </c>
      <c r="P12" s="26">
        <v>100</v>
      </c>
      <c r="Q12" s="26">
        <v>100</v>
      </c>
      <c r="R12" s="26">
        <v>120</v>
      </c>
      <c r="S12" s="26">
        <v>2</v>
      </c>
      <c r="T12" s="21"/>
      <c r="U12" s="21"/>
      <c r="V12" s="21"/>
      <c r="W12" s="21"/>
      <c r="X12" s="21" t="s">
        <v>107</v>
      </c>
      <c r="Y12" s="21"/>
    </row>
    <row r="13" spans="1:26" x14ac:dyDescent="0.4">
      <c r="A13" s="20">
        <v>4</v>
      </c>
      <c r="B13" s="20">
        <v>20231218</v>
      </c>
      <c r="C13" s="21" t="s">
        <v>130</v>
      </c>
      <c r="D13" s="21">
        <v>12</v>
      </c>
      <c r="E13" s="21"/>
      <c r="F13" s="21"/>
      <c r="G13" s="21" t="s">
        <v>105</v>
      </c>
      <c r="H13" s="21"/>
      <c r="I13" s="21"/>
      <c r="J13" s="21"/>
      <c r="K13" s="21"/>
      <c r="L13" s="21"/>
      <c r="M13" s="21"/>
      <c r="N13" s="21"/>
      <c r="O13" s="21">
        <v>100</v>
      </c>
      <c r="P13" s="21">
        <v>100</v>
      </c>
      <c r="Q13" s="21">
        <v>34</v>
      </c>
      <c r="R13" s="21">
        <v>120</v>
      </c>
      <c r="S13" s="21">
        <v>0</v>
      </c>
      <c r="T13" s="21">
        <v>100</v>
      </c>
      <c r="U13" s="21">
        <v>34</v>
      </c>
      <c r="V13" s="21">
        <v>80</v>
      </c>
      <c r="W13" s="21">
        <v>0</v>
      </c>
      <c r="X13" s="21" t="s">
        <v>107</v>
      </c>
      <c r="Y13" s="21"/>
    </row>
    <row r="14" spans="1:26" x14ac:dyDescent="0.4">
      <c r="A14" s="20"/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</row>
    <row r="15" spans="1:26" x14ac:dyDescent="0.4">
      <c r="A15" s="20"/>
      <c r="B15" s="20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</row>
    <row r="16" spans="1:26" x14ac:dyDescent="0.4">
      <c r="A16" s="20"/>
      <c r="B16" s="20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</row>
    <row r="17" spans="1:25" x14ac:dyDescent="0.4">
      <c r="A17" s="20"/>
      <c r="B17" s="20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</row>
    <row r="18" spans="1:25" x14ac:dyDescent="0.4">
      <c r="A18" s="20"/>
      <c r="B18" s="20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x14ac:dyDescent="0.4">
      <c r="A19" s="20"/>
      <c r="B19" s="20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</row>
    <row r="20" spans="1:25" x14ac:dyDescent="0.4">
      <c r="A20" s="20"/>
      <c r="B20" s="20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</row>
    <row r="21" spans="1:25" x14ac:dyDescent="0.4">
      <c r="A21" s="20"/>
      <c r="B21" s="20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</row>
    <row r="22" spans="1:25" x14ac:dyDescent="0.4">
      <c r="A22" s="20"/>
      <c r="B22" s="20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</row>
    <row r="23" spans="1:25" x14ac:dyDescent="0.4">
      <c r="A23" s="20"/>
      <c r="B23" s="20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</row>
    <row r="24" spans="1:25" x14ac:dyDescent="0.4">
      <c r="A24" s="20"/>
      <c r="B24" s="20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</row>
    <row r="25" spans="1:25" x14ac:dyDescent="0.4">
      <c r="A25" s="20"/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</row>
    <row r="26" spans="1:25" x14ac:dyDescent="0.4">
      <c r="A26" s="20"/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</row>
    <row r="27" spans="1:25" x14ac:dyDescent="0.4">
      <c r="A27" s="20"/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</row>
    <row r="28" spans="1:25" x14ac:dyDescent="0.4">
      <c r="A28" s="20"/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</row>
    <row r="29" spans="1:25" x14ac:dyDescent="0.4">
      <c r="A29" s="20"/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</row>
    <row r="30" spans="1:25" x14ac:dyDescent="0.4">
      <c r="A30" s="20"/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</row>
    <row r="31" spans="1:25" x14ac:dyDescent="0.4">
      <c r="A31" s="20"/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</row>
    <row r="32" spans="1:25" x14ac:dyDescent="0.4">
      <c r="A32" s="20"/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</row>
    <row r="33" spans="1:25" x14ac:dyDescent="0.4">
      <c r="A33" s="20"/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</row>
    <row r="34" spans="1:25" x14ac:dyDescent="0.4">
      <c r="A34" s="20"/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</row>
    <row r="35" spans="1:25" x14ac:dyDescent="0.4">
      <c r="A35" s="20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</row>
    <row r="36" spans="1:25" x14ac:dyDescent="0.4">
      <c r="A36" s="20"/>
      <c r="B36" s="20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</row>
    <row r="37" spans="1:25" x14ac:dyDescent="0.4">
      <c r="A37" s="20"/>
      <c r="B37" s="20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</row>
    <row r="38" spans="1:25" x14ac:dyDescent="0.4">
      <c r="A38" s="20"/>
      <c r="B38" s="20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</row>
    <row r="39" spans="1:25" x14ac:dyDescent="0.4">
      <c r="A39" s="20"/>
      <c r="B39" s="20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</row>
    <row r="40" spans="1:25" x14ac:dyDescent="0.4">
      <c r="A40" s="20"/>
      <c r="B40" s="20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</row>
    <row r="41" spans="1:25" x14ac:dyDescent="0.4">
      <c r="A41" s="20"/>
      <c r="B41" s="20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</row>
  </sheetData>
  <mergeCells count="2">
    <mergeCell ref="O2:W7"/>
    <mergeCell ref="A4:A5"/>
  </mergeCells>
  <phoneticPr fontId="1" type="noConversion"/>
  <dataValidations count="3">
    <dataValidation type="list" allowBlank="1" showInputMessage="1" showErrorMessage="1" sqref="F10:F12 G14:G41" xr:uid="{1DD349C1-A872-4288-AFB8-8811EBFE4566}">
      <formula1>"1, 3"</formula1>
    </dataValidation>
    <dataValidation type="list" allowBlank="1" showInputMessage="1" showErrorMessage="1" sqref="C10:C41" xr:uid="{86A490C5-0BC9-4356-9474-16420A5BB3EE}">
      <formula1>"StepDown, Lizard, KnockOut, TwoWayKnockOut"</formula1>
    </dataValidation>
    <dataValidation type="list" allowBlank="1" showInputMessage="1" showErrorMessage="1" sqref="B2" xr:uid="{87891428-071F-4D52-BB53-268F69D2A0D8}">
      <formula1>"P, G, CF, GNCF"</formula1>
    </dataValidation>
  </dataValidation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36F6C-67D8-4B2E-9B30-C2D03F6C95B0}">
  <sheetPr codeName="Sheet7"/>
  <dimension ref="A1"/>
  <sheetViews>
    <sheetView workbookViewId="0">
      <selection activeCell="Q10" sqref="Q10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Sheet1</vt:lpstr>
      <vt:lpstr>Market Data</vt:lpstr>
      <vt:lpstr>Vol</vt:lpstr>
      <vt:lpstr>DiscreteDividend</vt:lpstr>
      <vt:lpstr>Dividend</vt:lpstr>
      <vt:lpstr>Quote</vt:lpstr>
      <vt:lpstr>Quote_2</vt:lpstr>
      <vt:lpstr>HistoricalVol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JURO6</dc:creator>
  <cp:lastModifiedBy>JURO6</cp:lastModifiedBy>
  <dcterms:created xsi:type="dcterms:W3CDTF">2024-02-15T06:31:11Z</dcterms:created>
  <dcterms:modified xsi:type="dcterms:W3CDTF">2024-05-10T07:11:21Z</dcterms:modified>
</cp:coreProperties>
</file>