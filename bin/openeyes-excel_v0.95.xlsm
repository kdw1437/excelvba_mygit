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746A10CB-6521-4FCA-9B87-4D0200FD0703}" xr6:coauthVersionLast="47" xr6:coauthVersionMax="47" xr10:uidLastSave="{00000000-0000-0000-0000-000000000000}"/>
  <bookViews>
    <workbookView xWindow="-108" yWindow="-108" windowWidth="23256" windowHeight="12576" activeTab="1" xr2:uid="{D579C9A6-6C0E-4926-85B4-935B81558EC6}"/>
  </bookViews>
  <sheets>
    <sheet name="Sheet1" sheetId="1" r:id="rId1"/>
    <sheet name="Market Data" sheetId="2" r:id="rId2"/>
    <sheet name="Vol" sheetId="3" r:id="rId3"/>
    <sheet name="DiscreteDividend" sheetId="4" r:id="rId4"/>
    <sheet name="Dividend" sheetId="5" r:id="rId5"/>
    <sheet name="Quote" sheetId="6" r:id="rId6"/>
    <sheet name="Quote_2" sheetId="8" r:id="rId7"/>
    <sheet name="HistoricalVol" sheetId="7" r:id="rId8"/>
  </sheets>
  <functionGroups builtInGroupCount="19"/>
  <externalReferences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8" l="1"/>
  <c r="AC10" i="6"/>
  <c r="AC11" i="6"/>
  <c r="B8" i="6"/>
  <c r="D2" i="6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A9B96454-325F-4766-966F-5F64AA756B59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48EFDDB9-FE67-40AB-89FA-1A860670363C}">
      <text>
        <r>
          <rPr>
            <b/>
            <sz val="9"/>
            <color indexed="81"/>
            <rFont val="돋움"/>
            <family val="3"/>
            <charset val="129"/>
          </rPr>
          <t>다음의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가능
</t>
        </r>
        <r>
          <rPr>
            <b/>
            <sz val="9"/>
            <color indexed="81"/>
            <rFont val="Tahoma"/>
            <family val="2"/>
          </rPr>
          <t xml:space="preserve">StepDown
Lizard
StepDown - Monthly Coupon
KnockOut
TwoWay KnockOut
</t>
        </r>
      </text>
    </comment>
    <comment ref="D9" authorId="0" shapeId="0" xr:uid="{7D3D0C8B-A98B-49E5-853A-BCFE57E28194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C43C66A-F962-4145-9194-A5737F875FC9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B3E1612D-B8C4-43C4-A277-8D4232A2D82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" authorId="0" shapeId="0" xr:uid="{B1E58B5A-6A27-4C28-AFE8-4E7B30F96A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C9" authorId="0" shapeId="0" xr:uid="{6C0BC0B4-212A-4B0F-A244-89DBFE13A92A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D9" authorId="0" shapeId="0" xr:uid="{186F11E7-18BB-40AC-B5E9-AE09D9E2664E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2059D2B1-48C5-444C-86B3-5589C9B53C05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J9" authorId="0" shapeId="0" xr:uid="{2EF3B1BC-61D9-4888-959F-58924389F04F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6C8BD004-102F-4589-BDEF-5335585305C3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<sst xmlns="http://schemas.openxmlformats.org/spreadsheetml/2006/main" count="273" uniqueCount="131">
  <si>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</si>
  <si>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</si>
  <si>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</si>
  <si>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</si>
  <si>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</si>
  <si>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</si>
  <si>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</si>
  <si>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</si>
  <si>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</si>
  <si>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</si>
  <si>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</si>
  <si>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</si>
  <si>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</si>
  <si>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</si>
  <si>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</si>
  <si>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</si>
  <si>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</si>
  <si>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</si>
  <si>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</si>
  <si>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</si>
  <si>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</si>
  <si>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</si>
  <si>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</si>
  <si>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</si>
  <si>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</si>
  <si>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</si>
  <si>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</si>
  <si>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</si>
  <si>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</si>
  <si>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</si>
  <si>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</si>
  <si>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</si>
  <si>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</si>
  <si>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</si>
  <si>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</si>
  <si>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</si>
  <si>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</si>
  <si>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</si>
  <si>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</si>
  <si>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</si>
  <si>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</si>
  <si>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</si>
  <si>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</si>
  <si>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</si>
  <si>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</si>
  <si>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</si>
  <si>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</si>
  <si>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</si>
  <si>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</si>
  <si>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</si>
  <si>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</si>
  <si>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</si>
  <si>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</si>
  <si>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</si>
  <si>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</si>
  <si>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</si>
  <si>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Scenario</t>
    <phoneticPr fontId="1" type="noConversion"/>
  </si>
  <si>
    <t>TEST_1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</si>
  <si>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</si>
  <si>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</si>
  <si>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</si>
  <si>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</si>
  <si>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</si>
  <si>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</si>
  <si>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</si>
  <si>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</si>
  <si>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</si>
  <si>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</si>
  <si>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Scenario ID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</si>
  <si>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</si>
  <si>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</si>
  <si>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</si>
  <si>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</si>
  <si>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</si>
  <si>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3Y만기 6M 주기 조기상환으로 설계함</t>
    <phoneticPr fontId="3" type="noConversion"/>
  </si>
  <si>
    <t>KnockOut, TwoWayKnockOut 의 경우 리베이트, 히팅쿠폰, 미히팅 참여율 필요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</si>
  <si>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</si>
  <si>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</si>
  <si>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</si>
  <si>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</si>
  <si>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</si>
  <si>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</si>
  <si>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</si>
  <si>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</si>
  <si>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</si>
  <si>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</si>
  <si>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행사가(%) 1</t>
    <phoneticPr fontId="3" type="noConversion"/>
  </si>
  <si>
    <t>행사가(%) 2</t>
  </si>
  <si>
    <t>행사가(%) 3</t>
  </si>
  <si>
    <t>행사가(%) 4</t>
  </si>
  <si>
    <t>행사가(%) 5</t>
  </si>
  <si>
    <t>행사가(%) 6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</si>
  <si>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</si>
  <si>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</si>
  <si>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</si>
  <si>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KO Barrier(%)</t>
    <phoneticPr fontId="3" type="noConversion"/>
  </si>
  <si>
    <t>Lizard 1 회차</t>
    <phoneticPr fontId="3" type="noConversion"/>
  </si>
  <si>
    <t>Lizard 1 베리어</t>
    <phoneticPr fontId="3" type="noConversion"/>
  </si>
  <si>
    <t>Lizard 1 쿠폰(%)</t>
    <phoneticPr fontId="3" type="noConversion"/>
  </si>
  <si>
    <t>Lizard 2 회차</t>
  </si>
  <si>
    <t>Lizard 2 베리어</t>
  </si>
  <si>
    <t>Lizard 2 쿠폰(%)</t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</si>
  <si>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</si>
  <si>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</si>
  <si>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</si>
  <si>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</si>
  <si>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</si>
  <si>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</si>
  <si>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</si>
  <si>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</si>
  <si>
    <t>KI Barrier Type</t>
    <phoneticPr fontId="1" type="noConversion"/>
  </si>
  <si>
    <t>만기</t>
    <phoneticPr fontId="1" type="noConversion"/>
  </si>
  <si>
    <t>전구간</t>
    <phoneticPr fontId="1" type="noConversion"/>
  </si>
  <si>
    <t>Data Set ID</t>
    <phoneticPr fontId="3" type="noConversion"/>
  </si>
  <si>
    <t>official</t>
    <phoneticPr fontId="3" type="noConversion"/>
  </si>
  <si>
    <t>1) KnockOut 상품의 경우 Call베리어, Call참여율, KO Barrier(UpSide), 더미쿠폰(Upside, KO 베리어 히팅 시 쿠폰) 입력 필수</t>
    <phoneticPr fontId="3" type="noConversion"/>
  </si>
  <si>
    <t>행사가(%) 베리어</t>
    <phoneticPr fontId="3" type="noConversion"/>
  </si>
  <si>
    <t>리자드 쿠폰(연, %)</t>
    <phoneticPr fontId="3" type="noConversion"/>
  </si>
  <si>
    <t>원금보장율(%)</t>
    <phoneticPr fontId="3" type="noConversion"/>
  </si>
  <si>
    <t>Call 베리어(%)</t>
    <phoneticPr fontId="3" type="noConversion"/>
  </si>
  <si>
    <t>Call 참여율</t>
    <phoneticPr fontId="3" type="noConversion"/>
  </si>
  <si>
    <t>KO베리어(%, UpSide)</t>
    <phoneticPr fontId="3" type="noConversion"/>
  </si>
  <si>
    <t>더미 쿠폰(%, UpSide)</t>
    <phoneticPr fontId="3" type="noConversion"/>
  </si>
  <si>
    <t>Put 베리어(%)</t>
    <phoneticPr fontId="3" type="noConversion"/>
  </si>
  <si>
    <t>Put 참여율</t>
    <phoneticPr fontId="3" type="noConversion"/>
  </si>
  <si>
    <t>KO 베리어(%, DownSide)</t>
    <phoneticPr fontId="3" type="noConversion"/>
  </si>
  <si>
    <t>더미 쿠폰(%, DownSide)</t>
    <phoneticPr fontId="3" type="noConversion"/>
  </si>
  <si>
    <t>95-95-90-90-85-80</t>
    <phoneticPr fontId="3" type="noConversion"/>
  </si>
  <si>
    <t>95(80)-95(80)-90-90-85-80</t>
    <phoneticPr fontId="3" type="noConversion"/>
  </si>
  <si>
    <t>KnockOut</t>
  </si>
  <si>
    <t>TwoWayKnockOut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</si>
</sst>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5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5" borderId="1" xfId="1" applyFill="1" applyBorder="1" applyAlignment="1">
      <alignment horizontal="center"/>
    </xf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2" fillId="6" borderId="1" xfId="1" applyFill="1" applyBorder="1"/>
    <xf numFmtId="0" fontId="4" fillId="3" borderId="1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0" fontId="4" fillId="0" borderId="12" xfId="1" applyFont="1" applyBorder="1" applyAlignment="1">
      <alignment horizontal="left" vertical="top"/>
    </xf>
    <xf numFmtId="0" fontId="4" fillId="0" borderId="13" xfId="1" applyFont="1" applyBorder="1" applyAlignment="1">
      <alignment horizontal="left" vertical="top"/>
    </xf>
    <xf numFmtId="0" fontId="4" fillId="0" borderId="14" xfId="1" applyFont="1" applyBorder="1" applyAlignment="1">
      <alignment horizontal="left" vertical="top"/>
    </xf>
    <xf numFmtId="0" fontId="4" fillId="0" borderId="4" xfId="1" applyFont="1" applyBorder="1" applyAlignment="1">
      <alignment horizontal="left" vertical="top"/>
    </xf>
    <xf numFmtId="0" fontId="4" fillId="0" borderId="0" xfId="1" applyFont="1" applyAlignment="1">
      <alignment horizontal="left" vertical="top"/>
    </xf>
    <xf numFmtId="0" fontId="4" fillId="0" borderId="15" xfId="1" applyFont="1" applyBorder="1" applyAlignment="1">
      <alignment horizontal="left" vertical="top"/>
    </xf>
    <xf numFmtId="0" fontId="4" fillId="0" borderId="16" xfId="1" applyFont="1" applyBorder="1" applyAlignment="1">
      <alignment horizontal="left" vertical="top"/>
    </xf>
    <xf numFmtId="0" fontId="4" fillId="0" borderId="11" xfId="1" applyFont="1" applyBorder="1" applyAlignment="1">
      <alignment horizontal="left" vertical="top"/>
    </xf>
    <xf numFmtId="0" fontId="4" fillId="0" borderId="17" xfId="1" applyFont="1" applyBorder="1" applyAlignment="1">
      <alignment horizontal="left" vertical="top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304BBDA-FA4B-468D-9840-66F5345F6FD3}"/>
            </a:ext>
          </a:extLst>
        </xdr:cNvPr>
        <xdr:cNvSpPr/>
      </xdr:nvSpPr>
      <xdr:spPr>
        <a:xfrm>
          <a:off x="468986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D8509A7F-486C-47BD-815D-C7F299C2FF33}"/>
            </a:ext>
          </a:extLst>
        </xdr:cNvPr>
        <xdr:cNvSpPr/>
      </xdr:nvSpPr>
      <xdr:spPr>
        <a:xfrm>
          <a:off x="494132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&#45936;&#51060;&#53552;%20api\FO_Excel_v0.2_macro_update_data_input_240328_quote.xlsm" TargetMode="External"/><Relationship Id="rId1" Type="http://schemas.openxmlformats.org/officeDocument/2006/relationships/externalLinkPath" Target="/Users/JURO_NEW/Desktop/&#45936;&#51060;&#53552;%20api/FO_Excel_v0.2_macro_update_data_input_240328_quo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OTC"/>
      <sheetName val="InputData"/>
      <sheetName val="Quote"/>
    </sheetNames>
    <sheetDataSet>
      <sheetData sheetId="0">
        <row r="2">
          <cell r="O2" t="str">
            <v>TEST_2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abSelected="1" topLeftCell="A4" workbookViewId="0">
      <selection activeCell="M25" sqref="M25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2" t="s">
        <v>2</v>
      </c>
    </row>
    <row r="2" spans="1:21" x14ac:dyDescent="0.4">
      <c r="A2" s="3">
        <v>45288</v>
      </c>
      <c r="O2" s="4" t="s">
        <v>49</v>
      </c>
      <c r="P2" s="2" t="s">
        <v>3</v>
      </c>
    </row>
    <row r="4" spans="1:21" x14ac:dyDescent="0.4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">
      <c r="A5" s="27" t="s">
        <v>8</v>
      </c>
      <c r="B5" s="27"/>
      <c r="C5" s="27"/>
      <c r="D5" s="27"/>
      <c r="E5" s="27"/>
      <c r="F5" s="27"/>
      <c r="G5" s="27"/>
      <c r="H5" s="27"/>
      <c r="I5" s="27"/>
      <c r="M5" s="27" t="s">
        <v>9</v>
      </c>
      <c r="N5" s="27"/>
      <c r="O5" s="27"/>
      <c r="P5" s="27"/>
      <c r="Q5" s="27"/>
      <c r="R5" s="27"/>
      <c r="S5" s="27"/>
      <c r="T5" s="27"/>
      <c r="U5" s="27"/>
    </row>
    <row r="6" spans="1:21" x14ac:dyDescent="0.4">
      <c r="A6" s="30" t="s">
        <v>10</v>
      </c>
      <c r="B6" s="30" t="s">
        <v>11</v>
      </c>
      <c r="C6" s="32" t="s">
        <v>12</v>
      </c>
      <c r="D6" s="32"/>
      <c r="E6" s="32"/>
      <c r="F6" s="32"/>
      <c r="G6" s="32"/>
      <c r="H6" s="32"/>
      <c r="I6" s="32"/>
      <c r="M6" s="30" t="s">
        <v>10</v>
      </c>
      <c r="N6" s="30" t="s">
        <v>13</v>
      </c>
      <c r="O6" s="32" t="s">
        <v>12</v>
      </c>
      <c r="P6" s="32"/>
      <c r="Q6" s="32"/>
      <c r="R6" s="32"/>
      <c r="S6" s="32"/>
      <c r="T6" s="32"/>
      <c r="U6" s="32"/>
    </row>
    <row r="7" spans="1:21" x14ac:dyDescent="0.4">
      <c r="A7" s="31"/>
      <c r="B7" s="31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31"/>
      <c r="N7" s="31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">
      <c r="A17" s="27" t="s">
        <v>8</v>
      </c>
      <c r="B17" s="27"/>
      <c r="C17" s="27"/>
      <c r="D17" s="27"/>
      <c r="E17" s="27"/>
      <c r="F17" s="27"/>
      <c r="G17" s="27"/>
      <c r="H17" s="27"/>
      <c r="I17" s="27"/>
      <c r="J17" s="27"/>
      <c r="M17" s="27" t="s">
        <v>23</v>
      </c>
      <c r="N17" s="27"/>
      <c r="O17" s="27"/>
      <c r="P17" s="27"/>
      <c r="Q17" s="27"/>
      <c r="R17" s="27"/>
      <c r="S17" s="27"/>
      <c r="T17" s="27"/>
      <c r="U17" s="27"/>
      <c r="V17" s="27"/>
    </row>
    <row r="18" spans="1:22" x14ac:dyDescent="0.4">
      <c r="A18" s="30" t="s">
        <v>10</v>
      </c>
      <c r="B18" s="30" t="s">
        <v>24</v>
      </c>
      <c r="C18" s="30" t="s">
        <v>25</v>
      </c>
      <c r="D18" s="32" t="s">
        <v>12</v>
      </c>
      <c r="E18" s="32"/>
      <c r="F18" s="32"/>
      <c r="G18" s="32"/>
      <c r="H18" s="32"/>
      <c r="I18" s="32"/>
      <c r="J18" s="32"/>
      <c r="M18" s="30" t="s">
        <v>10</v>
      </c>
      <c r="N18" s="30" t="s">
        <v>24</v>
      </c>
      <c r="O18" s="30" t="s">
        <v>25</v>
      </c>
      <c r="P18" s="32" t="s">
        <v>12</v>
      </c>
      <c r="Q18" s="32"/>
      <c r="R18" s="32"/>
      <c r="S18" s="32"/>
      <c r="T18" s="32"/>
      <c r="U18" s="32"/>
      <c r="V18" s="32"/>
    </row>
    <row r="19" spans="1:22" x14ac:dyDescent="0.4">
      <c r="A19" s="31"/>
      <c r="B19" s="31"/>
      <c r="C19" s="31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31"/>
      <c r="N19" s="31"/>
      <c r="O19" s="31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">
      <c r="A26" s="27" t="s">
        <v>8</v>
      </c>
      <c r="B26" s="27"/>
      <c r="C26" s="27"/>
      <c r="D26" s="27"/>
      <c r="E26" s="27"/>
      <c r="F26" s="27"/>
      <c r="G26" s="27"/>
      <c r="H26" s="27"/>
      <c r="I26" s="27"/>
      <c r="J26" s="27"/>
      <c r="M26" s="28" t="s">
        <v>23</v>
      </c>
      <c r="N26" s="29"/>
      <c r="O26" s="29"/>
      <c r="P26" s="29"/>
      <c r="Q26" s="29"/>
      <c r="R26" s="29"/>
      <c r="S26" s="29"/>
      <c r="T26" s="29"/>
      <c r="U26" s="29"/>
      <c r="V26" s="29"/>
    </row>
    <row r="27" spans="1:22" x14ac:dyDescent="0.4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5:I5"/>
    <mergeCell ref="M5:U5"/>
    <mergeCell ref="A6:A7"/>
    <mergeCell ref="B6:B7"/>
    <mergeCell ref="C6:I6"/>
    <mergeCell ref="M6:M7"/>
    <mergeCell ref="N6:N7"/>
    <mergeCell ref="O6:U6"/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opLeftCell="AA1" workbookViewId="0">
      <selection activeCell="AN10" sqref="AN10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42</v>
      </c>
    </row>
    <row r="2" spans="1:56" ht="25.2" x14ac:dyDescent="0.4">
      <c r="A2" s="33" t="s">
        <v>43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D2" s="33" t="s">
        <v>9</v>
      </c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</row>
    <row r="3" spans="1:56" x14ac:dyDescent="0.4">
      <c r="A3" s="7" t="s">
        <v>10</v>
      </c>
      <c r="B3" s="27" t="s">
        <v>44</v>
      </c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D3" s="7" t="s">
        <v>10</v>
      </c>
      <c r="AE3" s="27" t="s">
        <v>44</v>
      </c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</row>
    <row r="4" spans="1:56" x14ac:dyDescent="0.4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27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27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27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27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27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27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27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27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27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27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27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27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27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27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27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27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27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27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10</v>
      </c>
      <c r="B15" s="27" t="s">
        <v>44</v>
      </c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D15" s="7" t="s">
        <v>10</v>
      </c>
      <c r="AE15" s="27" t="s">
        <v>44</v>
      </c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</row>
    <row r="16" spans="1:56" x14ac:dyDescent="0.4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27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27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27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27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27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27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27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27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27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27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27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27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27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27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27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27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27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27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10</v>
      </c>
      <c r="B27" s="27" t="s">
        <v>44</v>
      </c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D27" s="7" t="s">
        <v>10</v>
      </c>
      <c r="AE27" s="27" t="s">
        <v>44</v>
      </c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</row>
    <row r="28" spans="1:56" x14ac:dyDescent="0.4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27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27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27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27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27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27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27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27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27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27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27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27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27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27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27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27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27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27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10</v>
      </c>
      <c r="B39" s="27" t="s">
        <v>44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7" t="s">
        <v>10</v>
      </c>
      <c r="AE39" s="27" t="s">
        <v>44</v>
      </c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</row>
    <row r="40" spans="1:56" x14ac:dyDescent="0.4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27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27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27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27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27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27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27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27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27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27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27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27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27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27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27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27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27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27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9:A37"/>
    <mergeCell ref="AD29:AD37"/>
    <mergeCell ref="B39:AA39"/>
    <mergeCell ref="AE39:BD39"/>
    <mergeCell ref="A41:A49"/>
    <mergeCell ref="AD41:AD49"/>
    <mergeCell ref="B15:AA15"/>
    <mergeCell ref="AE15:BD15"/>
    <mergeCell ref="A17:A25"/>
    <mergeCell ref="AD17:AD25"/>
    <mergeCell ref="B27:AA27"/>
    <mergeCell ref="AE27:BD27"/>
    <mergeCell ref="A2:AA2"/>
    <mergeCell ref="AD2:BD2"/>
    <mergeCell ref="B3:AA3"/>
    <mergeCell ref="AE3:BD3"/>
    <mergeCell ref="A5:A13"/>
    <mergeCell ref="AD5:AD1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D21" sqref="D21"/>
    </sheetView>
  </sheetViews>
  <sheetFormatPr defaultRowHeight="17.399999999999999" x14ac:dyDescent="0.4"/>
  <sheetData>
    <row r="1" spans="1:13" x14ac:dyDescent="0.4">
      <c r="I1" t="s">
        <v>56</v>
      </c>
      <c r="J1" t="s">
        <v>57</v>
      </c>
    </row>
    <row r="3" spans="1:13" x14ac:dyDescent="0.4">
      <c r="A3" t="s">
        <v>50</v>
      </c>
      <c r="J3" t="s">
        <v>53</v>
      </c>
    </row>
    <row r="5" spans="1:13" x14ac:dyDescent="0.4">
      <c r="A5" t="s">
        <v>51</v>
      </c>
      <c r="C5" t="s">
        <v>52</v>
      </c>
      <c r="J5" t="s">
        <v>54</v>
      </c>
      <c r="L5" t="s">
        <v>55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3:G7"/>
  <sheetViews>
    <sheetView workbookViewId="0">
      <selection activeCell="I14" sqref="I14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3" spans="1:7" x14ac:dyDescent="0.4">
      <c r="A3" t="s">
        <v>58</v>
      </c>
      <c r="F3" t="s">
        <v>61</v>
      </c>
    </row>
    <row r="5" spans="1:7" x14ac:dyDescent="0.4">
      <c r="A5" t="s">
        <v>26</v>
      </c>
      <c r="B5">
        <v>0</v>
      </c>
      <c r="F5" t="s">
        <v>62</v>
      </c>
      <c r="G5">
        <f>B5+0.0001</f>
        <v>1E-4</v>
      </c>
    </row>
    <row r="6" spans="1:7" x14ac:dyDescent="0.4">
      <c r="A6" t="s">
        <v>59</v>
      </c>
      <c r="B6">
        <v>0</v>
      </c>
      <c r="F6" t="s">
        <v>63</v>
      </c>
      <c r="G6">
        <f t="shared" ref="G6:G7" si="0">B6+0.0001</f>
        <v>1E-4</v>
      </c>
    </row>
    <row r="7" spans="1:7" x14ac:dyDescent="0.4">
      <c r="A7" t="s">
        <v>60</v>
      </c>
      <c r="B7">
        <v>0</v>
      </c>
      <c r="F7" t="s">
        <v>64</v>
      </c>
      <c r="G7">
        <f t="shared" si="0"/>
        <v>1E-4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0A3D-0545-4AF4-90AE-3718F4274BC9}">
  <sheetPr codeName="Sheet6"/>
  <dimension ref="A1:AC41"/>
  <sheetViews>
    <sheetView zoomScale="85" zoomScaleNormal="85" workbookViewId="0">
      <selection activeCell="J25" sqref="J25"/>
    </sheetView>
  </sheetViews>
  <sheetFormatPr defaultColWidth="14.59765625" defaultRowHeight="17.399999999999999" x14ac:dyDescent="0.4"/>
  <cols>
    <col min="1" max="1" width="14.59765625" style="25"/>
    <col min="2" max="16384" width="14.59765625" style="19"/>
  </cols>
  <sheetData>
    <row r="1" spans="1:29" x14ac:dyDescent="0.4">
      <c r="A1" s="1" t="s">
        <v>65</v>
      </c>
      <c r="B1" s="1" t="s">
        <v>66</v>
      </c>
      <c r="C1" s="1" t="s">
        <v>67</v>
      </c>
      <c r="D1" s="1" t="s">
        <v>68</v>
      </c>
      <c r="F1" s="2"/>
      <c r="G1" s="2"/>
    </row>
    <row r="2" spans="1:29" x14ac:dyDescent="0.4">
      <c r="A2" s="3">
        <v>45263</v>
      </c>
      <c r="B2" s="4" t="s">
        <v>69</v>
      </c>
      <c r="C2" s="8"/>
      <c r="D2" s="4" t="str">
        <f>IF(ISBLANK('[1]Market Data'!O2), "official",  '[1]Market Data'!O2)</f>
        <v>TEST_2</v>
      </c>
      <c r="F2" s="2"/>
      <c r="G2" s="2"/>
    </row>
    <row r="3" spans="1:29" x14ac:dyDescent="0.4">
      <c r="A3" s="18"/>
      <c r="B3" s="2"/>
      <c r="C3" s="2"/>
      <c r="D3" s="2"/>
      <c r="E3" s="2"/>
      <c r="F3" s="2"/>
      <c r="G3" s="2"/>
    </row>
    <row r="4" spans="1:29" x14ac:dyDescent="0.4">
      <c r="A4" s="34" t="s">
        <v>70</v>
      </c>
      <c r="B4" s="1" t="s">
        <v>71</v>
      </c>
      <c r="C4" s="1" t="s">
        <v>72</v>
      </c>
      <c r="F4" s="2"/>
      <c r="G4" s="2"/>
    </row>
    <row r="5" spans="1:29" x14ac:dyDescent="0.4">
      <c r="A5" s="35"/>
      <c r="B5" s="8"/>
      <c r="C5" s="8"/>
      <c r="F5" s="2"/>
      <c r="G5" s="2"/>
    </row>
    <row r="8" spans="1:29" x14ac:dyDescent="0.4">
      <c r="A8" s="20" t="s">
        <v>73</v>
      </c>
      <c r="B8" s="21">
        <f>COUNTA(A10:A139)</f>
        <v>2</v>
      </c>
      <c r="J8" s="22" t="s">
        <v>74</v>
      </c>
      <c r="R8" s="22" t="s">
        <v>75</v>
      </c>
      <c r="S8" s="22"/>
      <c r="AB8" s="19" t="s">
        <v>76</v>
      </c>
    </row>
    <row r="9" spans="1:29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86</v>
      </c>
      <c r="K9" s="23" t="s">
        <v>87</v>
      </c>
      <c r="L9" s="23" t="s">
        <v>88</v>
      </c>
      <c r="M9" s="23" t="s">
        <v>89</v>
      </c>
      <c r="N9" s="23" t="s">
        <v>90</v>
      </c>
      <c r="O9" s="23" t="s">
        <v>91</v>
      </c>
      <c r="P9" s="23" t="s">
        <v>92</v>
      </c>
      <c r="Q9" s="23" t="s">
        <v>93</v>
      </c>
      <c r="R9" s="23" t="s">
        <v>94</v>
      </c>
      <c r="S9" s="23" t="s">
        <v>110</v>
      </c>
      <c r="T9" s="23" t="s">
        <v>95</v>
      </c>
      <c r="U9" s="23" t="s">
        <v>96</v>
      </c>
      <c r="V9" s="23" t="s">
        <v>97</v>
      </c>
      <c r="W9" s="23" t="s">
        <v>98</v>
      </c>
      <c r="X9" s="23" t="s">
        <v>99</v>
      </c>
      <c r="Y9" s="23" t="s">
        <v>100</v>
      </c>
      <c r="Z9" s="23" t="s">
        <v>101</v>
      </c>
      <c r="AA9" s="23" t="s">
        <v>102</v>
      </c>
      <c r="AB9" s="23" t="s">
        <v>103</v>
      </c>
      <c r="AC9" s="24"/>
    </row>
    <row r="10" spans="1:29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>
        <v>95</v>
      </c>
      <c r="K10" s="21">
        <v>95</v>
      </c>
      <c r="L10" s="21">
        <v>90</v>
      </c>
      <c r="M10" s="21">
        <v>85</v>
      </c>
      <c r="N10" s="21">
        <v>80</v>
      </c>
      <c r="O10" s="21">
        <v>70</v>
      </c>
      <c r="P10" s="21">
        <v>6.2</v>
      </c>
      <c r="Q10" s="21">
        <v>100</v>
      </c>
      <c r="R10" s="21">
        <v>50</v>
      </c>
      <c r="S10" s="21" t="s">
        <v>111</v>
      </c>
      <c r="T10" s="21"/>
      <c r="U10" s="21"/>
      <c r="V10" s="21"/>
      <c r="W10" s="21"/>
      <c r="X10" s="21"/>
      <c r="Y10" s="21"/>
      <c r="Z10" s="21"/>
      <c r="AA10" s="21" t="s">
        <v>107</v>
      </c>
      <c r="AB10" s="21"/>
      <c r="AC10" s="22" t="str">
        <f>""&amp;A10&amp;"|"&amp;B10&amp;"|"&amp;C10&amp;"|"&amp;D10&amp;"|"&amp;E10&amp;"|"&amp;F10&amp;"|"&amp;G10&amp;","&amp;H10&amp;","&amp;I10&amp;"|"&amp;J10&amp;","&amp;K10&amp;","&amp;L10&amp;","&amp;M10&amp;","&amp;N10&amp;","&amp;O10&amp;"|"&amp;P10&amp;"|"&amp;Q10&amp;"|"&amp;R10&amp;"|"&amp;T10&amp;"|"&amp;U10&amp;"|"&amp;V10&amp;"|"&amp;W10&amp;"|"&amp;X10&amp;"|"&amp;Y10&amp;"|"&amp;Z10&amp;"|"&amp;AA10&amp;""</f>
        <v>1|20231218|StepDown|6|2|1|KOSPI200,SPX,|95,95,90,85,80,70|6.2|100|50||||||||KRW</v>
      </c>
    </row>
    <row r="11" spans="1:29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>
        <v>95</v>
      </c>
      <c r="K11" s="21">
        <v>95</v>
      </c>
      <c r="L11" s="21">
        <v>90</v>
      </c>
      <c r="M11" s="21">
        <v>85</v>
      </c>
      <c r="N11" s="21">
        <v>80</v>
      </c>
      <c r="O11" s="21">
        <v>70</v>
      </c>
      <c r="P11" s="21">
        <v>6.2</v>
      </c>
      <c r="Q11" s="21">
        <v>100</v>
      </c>
      <c r="R11" s="21">
        <v>50</v>
      </c>
      <c r="S11" s="21" t="s">
        <v>112</v>
      </c>
      <c r="T11" s="21"/>
      <c r="U11" s="21">
        <v>3</v>
      </c>
      <c r="V11" s="21">
        <v>70</v>
      </c>
      <c r="W11" s="21"/>
      <c r="X11" s="21">
        <v>4</v>
      </c>
      <c r="Y11" s="21">
        <v>70</v>
      </c>
      <c r="Z11" s="21"/>
      <c r="AA11" s="21" t="s">
        <v>107</v>
      </c>
      <c r="AB11" s="21"/>
      <c r="AC11" s="22" t="str">
        <f>""&amp;A11&amp;"|"&amp;B11&amp;"|"&amp;C11&amp;"|"&amp;D11&amp;"|"&amp;E11&amp;"|"&amp;F11&amp;"|"&amp;G11&amp;","&amp;H11&amp;","&amp;I11&amp;"|"&amp;J11&amp;","&amp;K11&amp;","&amp;L11&amp;","&amp;M11&amp;","&amp;N11&amp;","&amp;O11&amp;"|"&amp;P11&amp;"|"&amp;Q11&amp;"|"&amp;R11&amp;"|"&amp;T11&amp;"|"&amp;U11&amp;"|"&amp;V11&amp;"|"&amp;W11&amp;"|"&amp;X11&amp;"|"&amp;Y11&amp;"|"&amp;Z11&amp;"|"&amp;AA11&amp;""</f>
        <v>2|20231218|Lizard|6|2|1|KOSPI200,NKY,|95,95,90,85,80,70|6.2|100|50||3|70||4|70||KRW</v>
      </c>
    </row>
    <row r="12" spans="1:29" x14ac:dyDescent="0.4">
      <c r="A12" s="20"/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</row>
    <row r="13" spans="1:29" x14ac:dyDescent="0.4">
      <c r="A13" s="20"/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</row>
    <row r="14" spans="1:29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</row>
    <row r="15" spans="1:29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</row>
    <row r="16" spans="1:29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</row>
    <row r="17" spans="1:28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</row>
    <row r="18" spans="1:28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</row>
    <row r="19" spans="1:28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</row>
    <row r="20" spans="1:28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</row>
    <row r="21" spans="1:28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</row>
    <row r="22" spans="1:28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</row>
    <row r="23" spans="1:28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</row>
    <row r="24" spans="1:28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</row>
    <row r="25" spans="1:28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</row>
    <row r="26" spans="1:28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</row>
    <row r="27" spans="1:28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</row>
    <row r="28" spans="1:28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</row>
    <row r="29" spans="1:28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</row>
    <row r="30" spans="1:28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</row>
    <row r="31" spans="1:28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</row>
    <row r="32" spans="1:28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</row>
    <row r="33" spans="1:28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</row>
    <row r="34" spans="1:28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</row>
    <row r="35" spans="1:28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</row>
    <row r="36" spans="1:28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</row>
    <row r="37" spans="1:28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</row>
    <row r="38" spans="1:28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</row>
    <row r="39" spans="1:28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</row>
    <row r="40" spans="1:28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</row>
    <row r="41" spans="1:28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</row>
  </sheetData>
  <dataConsolidate/>
  <mergeCells count="1">
    <mergeCell ref="A4:A5"/>
  </mergeCells>
  <phoneticPr fontId="1" type="noConversion"/>
  <dataValidations count="3">
    <dataValidation type="list" allowBlank="1" showInputMessage="1" showErrorMessage="1" sqref="F10:F41" xr:uid="{E9AF32CB-2BCE-4638-827C-8D0D2055A26D}">
      <formula1>"1, 3"</formula1>
    </dataValidation>
    <dataValidation type="list" allowBlank="1" showInputMessage="1" showErrorMessage="1" sqref="C10:C41" xr:uid="{2A96A153-AC40-421F-BC88-82662F168226}">
      <formula1>"StepDown, Lizard, KnockOut, TwoWayKnockOut"</formula1>
    </dataValidation>
    <dataValidation type="list" allowBlank="1" showInputMessage="1" showErrorMessage="1" sqref="B2" xr:uid="{30184E10-D68B-4FE7-A0EA-306A6012F65A}">
      <formula1>"P, G, CF, GNCF"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F5D49-86BD-4246-BA42-D51B5BAFEAF5}">
  <sheetPr codeName="Sheet8"/>
  <dimension ref="A1:Z41"/>
  <sheetViews>
    <sheetView zoomScaleNormal="100" workbookViewId="0">
      <selection activeCell="M11" sqref="M11"/>
    </sheetView>
  </sheetViews>
  <sheetFormatPr defaultColWidth="14.59765625" defaultRowHeight="17.399999999999999" x14ac:dyDescent="0.4"/>
  <cols>
    <col min="1" max="1" width="14.59765625" style="25"/>
    <col min="2" max="2" width="14.59765625" style="19"/>
    <col min="3" max="3" width="17.8984375" style="19" bestFit="1" customWidth="1"/>
    <col min="4" max="9" width="14.59765625" style="19"/>
    <col min="10" max="10" width="25.19921875" style="19" bestFit="1" customWidth="1"/>
    <col min="11" max="11" width="11.09765625" style="19" bestFit="1" customWidth="1"/>
    <col min="12" max="13" width="18" style="19" bestFit="1" customWidth="1"/>
    <col min="14" max="14" width="14.59765625" style="19"/>
    <col min="15" max="15" width="14.09765625" style="19" bestFit="1" customWidth="1"/>
    <col min="16" max="16" width="14.09765625" style="19" customWidth="1"/>
    <col min="17" max="17" width="11.09765625" style="19" bestFit="1" customWidth="1"/>
    <col min="18" max="18" width="21.3984375" style="19" bestFit="1" customWidth="1"/>
    <col min="19" max="19" width="20.59765625" style="19" bestFit="1" customWidth="1"/>
    <col min="20" max="20" width="14.19921875" style="19" bestFit="1" customWidth="1"/>
    <col min="21" max="21" width="14.19921875" style="19" customWidth="1"/>
    <col min="22" max="22" width="24.09765625" style="19" bestFit="1" customWidth="1"/>
    <col min="23" max="23" width="23.5" style="19" bestFit="1" customWidth="1"/>
    <col min="24" max="16384" width="14.59765625" style="19"/>
  </cols>
  <sheetData>
    <row r="1" spans="1:26" x14ac:dyDescent="0.4">
      <c r="A1" s="1" t="s">
        <v>65</v>
      </c>
      <c r="B1" s="1" t="s">
        <v>66</v>
      </c>
      <c r="C1" s="1" t="s">
        <v>67</v>
      </c>
      <c r="D1" s="1" t="s">
        <v>113</v>
      </c>
      <c r="F1" s="2"/>
      <c r="H1" s="2"/>
    </row>
    <row r="2" spans="1:26" x14ac:dyDescent="0.4">
      <c r="A2" s="3">
        <v>45263</v>
      </c>
      <c r="B2" s="4" t="s">
        <v>69</v>
      </c>
      <c r="C2" s="8"/>
      <c r="D2" s="4" t="s">
        <v>114</v>
      </c>
      <c r="F2" s="2"/>
      <c r="H2" s="2"/>
      <c r="O2" s="36" t="s">
        <v>115</v>
      </c>
      <c r="P2" s="37"/>
      <c r="Q2" s="37"/>
      <c r="R2" s="37"/>
      <c r="S2" s="37"/>
      <c r="T2" s="37"/>
      <c r="U2" s="37"/>
      <c r="V2" s="37"/>
      <c r="W2" s="38"/>
    </row>
    <row r="3" spans="1:26" x14ac:dyDescent="0.4">
      <c r="A3" s="18"/>
      <c r="B3" s="2"/>
      <c r="C3" s="2"/>
      <c r="D3" s="2"/>
      <c r="E3" s="2"/>
      <c r="F3" s="2"/>
      <c r="H3" s="2"/>
      <c r="O3" s="39"/>
      <c r="P3" s="40"/>
      <c r="Q3" s="40"/>
      <c r="R3" s="40"/>
      <c r="S3" s="40"/>
      <c r="T3" s="40"/>
      <c r="U3" s="40"/>
      <c r="V3" s="40"/>
      <c r="W3" s="41"/>
    </row>
    <row r="4" spans="1:26" x14ac:dyDescent="0.4">
      <c r="A4" s="34" t="s">
        <v>70</v>
      </c>
      <c r="B4" s="1" t="s">
        <v>71</v>
      </c>
      <c r="C4" s="1" t="s">
        <v>72</v>
      </c>
      <c r="F4" s="2"/>
      <c r="H4" s="2"/>
      <c r="O4" s="39"/>
      <c r="P4" s="40"/>
      <c r="Q4" s="40"/>
      <c r="R4" s="40"/>
      <c r="S4" s="40"/>
      <c r="T4" s="40"/>
      <c r="U4" s="40"/>
      <c r="V4" s="40"/>
      <c r="W4" s="41"/>
    </row>
    <row r="5" spans="1:26" x14ac:dyDescent="0.4">
      <c r="A5" s="35"/>
      <c r="B5" s="8"/>
      <c r="C5" s="8"/>
      <c r="F5" s="2"/>
      <c r="H5" s="2"/>
      <c r="O5" s="39"/>
      <c r="P5" s="40"/>
      <c r="Q5" s="40"/>
      <c r="R5" s="40"/>
      <c r="S5" s="40"/>
      <c r="T5" s="40"/>
      <c r="U5" s="40"/>
      <c r="V5" s="40"/>
      <c r="W5" s="41"/>
    </row>
    <row r="6" spans="1:26" x14ac:dyDescent="0.4">
      <c r="O6" s="39"/>
      <c r="P6" s="40"/>
      <c r="Q6" s="40"/>
      <c r="R6" s="40"/>
      <c r="S6" s="40"/>
      <c r="T6" s="40"/>
      <c r="U6" s="40"/>
      <c r="V6" s="40"/>
      <c r="W6" s="41"/>
    </row>
    <row r="7" spans="1:26" x14ac:dyDescent="0.4">
      <c r="O7" s="42"/>
      <c r="P7" s="43"/>
      <c r="Q7" s="43"/>
      <c r="R7" s="43"/>
      <c r="S7" s="43"/>
      <c r="T7" s="43"/>
      <c r="U7" s="43"/>
      <c r="V7" s="43"/>
      <c r="W7" s="44"/>
    </row>
    <row r="8" spans="1:26" x14ac:dyDescent="0.4">
      <c r="A8" s="20" t="s">
        <v>73</v>
      </c>
      <c r="B8" s="21">
        <f>COUNTA(A10:A139)</f>
        <v>4</v>
      </c>
      <c r="K8" s="22"/>
      <c r="O8" s="22"/>
      <c r="P8" s="22"/>
      <c r="Q8" s="22"/>
      <c r="R8" s="22"/>
      <c r="S8" s="22"/>
      <c r="T8" s="22"/>
      <c r="U8" s="22"/>
      <c r="V8" s="22"/>
      <c r="W8" s="22"/>
      <c r="Y8" s="19" t="s">
        <v>76</v>
      </c>
    </row>
    <row r="9" spans="1:26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116</v>
      </c>
      <c r="K9" s="23" t="s">
        <v>92</v>
      </c>
      <c r="L9" s="23" t="s">
        <v>117</v>
      </c>
      <c r="M9" s="23" t="s">
        <v>93</v>
      </c>
      <c r="N9" s="23" t="s">
        <v>94</v>
      </c>
      <c r="O9" s="23" t="s">
        <v>118</v>
      </c>
      <c r="P9" s="23" t="s">
        <v>119</v>
      </c>
      <c r="Q9" s="23" t="s">
        <v>120</v>
      </c>
      <c r="R9" s="23" t="s">
        <v>121</v>
      </c>
      <c r="S9" s="23" t="s">
        <v>122</v>
      </c>
      <c r="T9" s="23" t="s">
        <v>123</v>
      </c>
      <c r="U9" s="23" t="s">
        <v>124</v>
      </c>
      <c r="V9" s="23" t="s">
        <v>125</v>
      </c>
      <c r="W9" s="23" t="s">
        <v>126</v>
      </c>
      <c r="X9" s="23" t="s">
        <v>102</v>
      </c>
      <c r="Y9" s="23" t="s">
        <v>103</v>
      </c>
      <c r="Z9" s="24"/>
    </row>
    <row r="10" spans="1:26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 t="s">
        <v>127</v>
      </c>
      <c r="K10" s="21">
        <v>6.2</v>
      </c>
      <c r="L10" s="21"/>
      <c r="M10" s="21">
        <v>100</v>
      </c>
      <c r="N10" s="21">
        <v>50</v>
      </c>
      <c r="O10" s="21"/>
      <c r="P10" s="21"/>
      <c r="Q10" s="21"/>
      <c r="R10" s="21"/>
      <c r="S10" s="21"/>
      <c r="T10" s="21"/>
      <c r="U10" s="21"/>
      <c r="V10" s="21"/>
      <c r="W10" s="21"/>
      <c r="X10" s="21" t="s">
        <v>107</v>
      </c>
      <c r="Y10" s="21"/>
      <c r="Z10" s="22"/>
    </row>
    <row r="11" spans="1:26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 t="s">
        <v>128</v>
      </c>
      <c r="K11" s="21">
        <v>6.2</v>
      </c>
      <c r="L11" s="21">
        <v>6.2</v>
      </c>
      <c r="M11" s="21">
        <v>100</v>
      </c>
      <c r="N11" s="21">
        <v>50</v>
      </c>
      <c r="O11" s="21"/>
      <c r="P11" s="21"/>
      <c r="Q11" s="21"/>
      <c r="R11" s="21"/>
      <c r="S11" s="21"/>
      <c r="T11" s="21"/>
      <c r="U11" s="21"/>
      <c r="V11" s="21"/>
      <c r="W11" s="21"/>
      <c r="X11" s="21" t="s">
        <v>107</v>
      </c>
      <c r="Y11" s="21"/>
      <c r="Z11" s="22"/>
    </row>
    <row r="12" spans="1:26" x14ac:dyDescent="0.4">
      <c r="A12" s="20">
        <v>3</v>
      </c>
      <c r="B12" s="20">
        <v>20231218</v>
      </c>
      <c r="C12" s="21" t="s">
        <v>129</v>
      </c>
      <c r="D12" s="21">
        <v>12</v>
      </c>
      <c r="E12" s="21"/>
      <c r="F12" s="21"/>
      <c r="G12" s="21" t="s">
        <v>105</v>
      </c>
      <c r="H12" s="21"/>
      <c r="I12" s="21"/>
      <c r="J12" s="21"/>
      <c r="K12" s="21"/>
      <c r="L12" s="21"/>
      <c r="M12" s="21"/>
      <c r="N12" s="21"/>
      <c r="O12" s="26">
        <v>102</v>
      </c>
      <c r="P12" s="26">
        <v>100</v>
      </c>
      <c r="Q12" s="26">
        <v>100</v>
      </c>
      <c r="R12" s="26">
        <v>120</v>
      </c>
      <c r="S12" s="26">
        <v>2</v>
      </c>
      <c r="T12" s="21"/>
      <c r="U12" s="21"/>
      <c r="V12" s="21"/>
      <c r="W12" s="21"/>
      <c r="X12" s="21" t="s">
        <v>107</v>
      </c>
      <c r="Y12" s="21"/>
    </row>
    <row r="13" spans="1:26" x14ac:dyDescent="0.4">
      <c r="A13" s="20">
        <v>4</v>
      </c>
      <c r="B13" s="20">
        <v>20231218</v>
      </c>
      <c r="C13" s="21" t="s">
        <v>130</v>
      </c>
      <c r="D13" s="21">
        <v>12</v>
      </c>
      <c r="E13" s="21"/>
      <c r="F13" s="21"/>
      <c r="G13" s="21" t="s">
        <v>105</v>
      </c>
      <c r="H13" s="21"/>
      <c r="I13" s="21"/>
      <c r="J13" s="21"/>
      <c r="K13" s="21"/>
      <c r="L13" s="21"/>
      <c r="M13" s="21"/>
      <c r="N13" s="21"/>
      <c r="O13" s="21">
        <v>100</v>
      </c>
      <c r="P13" s="21">
        <v>100</v>
      </c>
      <c r="Q13" s="21">
        <v>34</v>
      </c>
      <c r="R13" s="21">
        <v>120</v>
      </c>
      <c r="S13" s="21">
        <v>0</v>
      </c>
      <c r="T13" s="21">
        <v>100</v>
      </c>
      <c r="U13" s="21">
        <v>34</v>
      </c>
      <c r="V13" s="21">
        <v>80</v>
      </c>
      <c r="W13" s="21">
        <v>0</v>
      </c>
      <c r="X13" s="21" t="s">
        <v>107</v>
      </c>
      <c r="Y13" s="21"/>
    </row>
    <row r="14" spans="1:26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</row>
    <row r="15" spans="1:26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</row>
    <row r="16" spans="1:26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</row>
    <row r="22" spans="1:25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</row>
    <row r="24" spans="1:25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</row>
    <row r="26" spans="1:25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</row>
    <row r="28" spans="1:25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</row>
    <row r="30" spans="1:25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</row>
    <row r="32" spans="1:25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</row>
    <row r="34" spans="1:25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5" spans="1:25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</row>
    <row r="36" spans="1:25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</row>
    <row r="37" spans="1:25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</row>
    <row r="38" spans="1:25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</row>
    <row r="39" spans="1:25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</row>
    <row r="40" spans="1:25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</row>
    <row r="41" spans="1:25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</row>
  </sheetData>
  <mergeCells count="2">
    <mergeCell ref="O2:W7"/>
    <mergeCell ref="A4:A5"/>
  </mergeCells>
  <phoneticPr fontId="1" type="noConversion"/>
  <dataValidations count="3">
    <dataValidation type="list" allowBlank="1" showInputMessage="1" showErrorMessage="1" sqref="F10:F12 G14:G41" xr:uid="{1DD349C1-A872-4288-AFB8-8811EBFE4566}">
      <formula1>"1, 3"</formula1>
    </dataValidation>
    <dataValidation type="list" allowBlank="1" showInputMessage="1" showErrorMessage="1" sqref="C10:C41" xr:uid="{86A490C5-0BC9-4356-9474-16420A5BB3EE}">
      <formula1>"StepDown, Lizard, KnockOut, TwoWayKnockOut"</formula1>
    </dataValidation>
    <dataValidation type="list" allowBlank="1" showInputMessage="1" showErrorMessage="1" sqref="B2" xr:uid="{87891428-071F-4D52-BB53-268F69D2A0D8}">
      <formula1>"P, G, CF, GNCF"</formula1>
    </dataValidation>
  </dataValidation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36F6C-67D8-4B2E-9B30-C2D03F6C95B0}">
  <sheetPr codeName="Sheet7"/>
  <dimension ref="A1"/>
  <sheetViews>
    <sheetView workbookViewId="0">
      <selection activeCell="Q10" sqref="Q10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Sheet1</vt:lpstr>
      <vt:lpstr>Market Data</vt:lpstr>
      <vt:lpstr>Vol</vt:lpstr>
      <vt:lpstr>DiscreteDividend</vt:lpstr>
      <vt:lpstr>Dividend</vt:lpstr>
      <vt:lpstr>Quote</vt:lpstr>
      <vt:lpstr>Quote_2</vt:lpstr>
      <vt:lpstr>HistoricalVol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2024-05-09T02:49:15Z</dcterms:modified>
</cp:coreProperties>
</file>